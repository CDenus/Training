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EM2025007614\Documents\Cursos\Apuntes\Excel&amp;VBA\"/>
    </mc:Choice>
  </mc:AlternateContent>
  <xr:revisionPtr revIDLastSave="0" documentId="13_ncr:1_{E3E3B119-35C4-47FD-9E57-73CA7CFE9F58}" xr6:coauthVersionLast="47" xr6:coauthVersionMax="47" xr10:uidLastSave="{00000000-0000-0000-0000-000000000000}"/>
  <bookViews>
    <workbookView xWindow="-28920" yWindow="-120" windowWidth="29040" windowHeight="15990" tabRatio="849" activeTab="3" xr2:uid="{00000000-000D-0000-FFFF-FFFF00000000}"/>
  </bookViews>
  <sheets>
    <sheet name="Index" sheetId="1" r:id="rId1"/>
    <sheet name="VBA Introduction" sheetId="7" r:id="rId2"/>
    <sheet name="Control Structures" sheetId="15" r:id="rId3"/>
    <sheet name="VBA Instructions" sheetId="16" r:id="rId4"/>
    <sheet name="Data" sheetId="12" r:id="rId5"/>
  </sheets>
  <functionGroups builtInGroupCount="19"/>
  <definedNames>
    <definedName name="_xlnm._FilterDatabase" localSheetId="1" hidden="1">'VBA Introduction'!#REF!</definedName>
    <definedName name="_xlnm.Criteria" localSheetId="1">'VBA Introduction'!#REF!</definedName>
    <definedName name="solver_adj" localSheetId="1" hidden="1">'VBA Introduction'!#REF!</definedName>
    <definedName name="solver_cvg" localSheetId="1" hidden="1">0.0001</definedName>
    <definedName name="solver_drv" localSheetId="1" hidden="1">2</definedName>
    <definedName name="solver_eng" localSheetId="1" hidden="1">1</definedName>
    <definedName name="solver_est" localSheetId="1" hidden="1">1</definedName>
    <definedName name="solver_itr" localSheetId="1" hidden="1">2147483647</definedName>
    <definedName name="solver_lhs1" localSheetId="1" hidden="1">'VBA Introduction'!#REF!</definedName>
    <definedName name="solver_lhs2" localSheetId="1" hidden="1">'VBA Introduction'!#REF!</definedName>
    <definedName name="solver_lhs3" localSheetId="1" hidden="1">'VBA Introduction'!#REF!</definedName>
    <definedName name="solver_lhs4" localSheetId="1" hidden="1">'VBA Introduction'!#REF!</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4</definedName>
    <definedName name="solver_nwt" localSheetId="1" hidden="1">1</definedName>
    <definedName name="solver_opt" localSheetId="1" hidden="1">'VBA Introduction'!#REF!</definedName>
    <definedName name="solver_pre" localSheetId="1" hidden="1">0.000001</definedName>
    <definedName name="solver_rbv" localSheetId="1" hidden="1">2</definedName>
    <definedName name="solver_rel1" localSheetId="1" hidden="1">4</definedName>
    <definedName name="solver_rel2" localSheetId="1" hidden="1">3</definedName>
    <definedName name="solver_rel3" localSheetId="1" hidden="1">1</definedName>
    <definedName name="solver_rel4" localSheetId="1" hidden="1">1</definedName>
    <definedName name="solver_rhs1" localSheetId="1" hidden="1">"entero"</definedName>
    <definedName name="solver_rhs2" localSheetId="1" hidden="1">'VBA Introduction'!#REF!</definedName>
    <definedName name="solver_rhs3" localSheetId="1" hidden="1">'VBA Introduction'!#REF!</definedName>
    <definedName name="solver_rhs4" localSheetId="1" hidden="1">'VBA Introduction'!#REF!</definedName>
    <definedName name="solver_rlx" localSheetId="1" hidden="1">2</definedName>
    <definedName name="solver_rsd" localSheetId="1" hidden="1">0</definedName>
    <definedName name="solver_scl" localSheetId="1" hidden="1">2</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1</definedName>
    <definedName name="solver_val" localSheetId="1" hidden="1">50000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2" i="7" l="1" a="1"/>
  <c r="B21" i="7" a="1"/>
  <c r="A6" i="16" a="1"/>
  <c r="B142" i="15" a="1"/>
  <c r="C72" i="15" a="1"/>
  <c r="C46" i="15" a="1"/>
  <c r="B35" i="15" a="1"/>
  <c r="B19" i="15" a="1"/>
  <c r="C74" i="15" a="1"/>
  <c r="B20" i="15" a="1"/>
  <c r="B36" i="15" a="1"/>
  <c r="B33" i="15" a="1"/>
  <c r="C59" i="15" a="1"/>
  <c r="C73" i="15" a="1"/>
  <c r="C47" i="15" a="1"/>
  <c r="C75" i="15" a="1"/>
  <c r="B8" i="15" a="1"/>
  <c r="C48" i="15" a="1"/>
  <c r="C49" i="15" a="1"/>
  <c r="B21" i="15" a="1"/>
  <c r="B22" i="15" a="1"/>
  <c r="B9" i="15" a="1"/>
  <c r="B7" i="15" a="1"/>
  <c r="C70" i="15" a="1"/>
  <c r="C85" i="15" a="1"/>
  <c r="C86" i="15" a="1"/>
  <c r="C45" i="15" a="1"/>
  <c r="C55" i="15" a="1"/>
  <c r="B32" i="15" a="1"/>
  <c r="B31" i="15" a="1"/>
  <c r="C58" i="15" a="1"/>
  <c r="B23" i="15" a="1"/>
  <c r="B18" i="15" a="1"/>
  <c r="B34" i="15" a="1"/>
  <c r="C56" i="15" a="1"/>
  <c r="C57" i="15" a="1"/>
  <c r="C50" i="15" a="1"/>
  <c r="C54" i="15" a="1"/>
  <c r="C71" i="15" a="1"/>
  <c r="B142" i="15" l="1"/>
  <c r="A6" i="16"/>
  <c r="B8" i="15"/>
  <c r="B9" i="15"/>
  <c r="B7" i="15"/>
  <c r="C74" i="15"/>
  <c r="C75" i="15"/>
  <c r="C73" i="15"/>
  <c r="C72" i="15"/>
  <c r="C71" i="15"/>
  <c r="C54" i="15"/>
  <c r="C55" i="15"/>
  <c r="C45" i="15"/>
  <c r="C86" i="15"/>
  <c r="C85" i="15"/>
  <c r="C70" i="15"/>
  <c r="C58" i="15"/>
  <c r="C59" i="15"/>
  <c r="C57" i="15"/>
  <c r="C56" i="15"/>
  <c r="C50" i="15"/>
  <c r="C49" i="15"/>
  <c r="C48" i="15"/>
  <c r="C47" i="15"/>
  <c r="C46" i="15"/>
  <c r="B31" i="15"/>
  <c r="B32" i="15"/>
  <c r="B33" i="15"/>
  <c r="B36" i="15"/>
  <c r="B35" i="15"/>
  <c r="B34" i="15"/>
  <c r="B18" i="15"/>
  <c r="B23" i="15"/>
  <c r="B22" i="15"/>
  <c r="B21" i="15"/>
  <c r="B20" i="15"/>
  <c r="B19" i="15"/>
  <c r="B22" i="7"/>
  <c r="B21"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<sst xmlns="http://schemas.openxmlformats.org/spreadsheetml/2006/main" count="113" uniqueCount="106">
  <si>
    <t>#2C3333</t>
  </si>
  <si>
    <t>#395B64</t>
  </si>
  <si>
    <t>#A5C9CA</t>
  </si>
  <si>
    <t>#E7F6F2</t>
  </si>
  <si>
    <r>
      <rPr>
        <b/>
        <sz val="11"/>
        <color rgb="FF2C3333"/>
        <rFont val="Calibri"/>
        <family val="2"/>
        <scheme val="minor"/>
      </rPr>
      <t>What's VBA?</t>
    </r>
    <r>
      <rPr>
        <sz val="11"/>
        <color rgb="FF2C3333"/>
        <rFont val="Calibri"/>
        <family val="2"/>
        <scheme val="minor"/>
      </rPr>
      <t xml:space="preserve">
- </t>
    </r>
    <r>
      <rPr>
        <b/>
        <sz val="11"/>
        <color rgb="FF2C3333"/>
        <rFont val="Calibri"/>
        <family val="2"/>
        <scheme val="minor"/>
      </rPr>
      <t>V</t>
    </r>
    <r>
      <rPr>
        <sz val="11"/>
        <color rgb="FF2C3333"/>
        <rFont val="Calibri"/>
        <family val="2"/>
        <scheme val="minor"/>
      </rPr>
      <t xml:space="preserve">isual </t>
    </r>
    <r>
      <rPr>
        <b/>
        <sz val="11"/>
        <color rgb="FF2C3333"/>
        <rFont val="Calibri"/>
        <family val="2"/>
        <scheme val="minor"/>
      </rPr>
      <t>B</t>
    </r>
    <r>
      <rPr>
        <sz val="11"/>
        <color rgb="FF2C3333"/>
        <rFont val="Calibri"/>
        <family val="2"/>
        <scheme val="minor"/>
      </rPr>
      <t xml:space="preserve">asic for </t>
    </r>
    <r>
      <rPr>
        <b/>
        <sz val="11"/>
        <color rgb="FF2C3333"/>
        <rFont val="Calibri"/>
        <family val="2"/>
        <scheme val="minor"/>
      </rPr>
      <t>A</t>
    </r>
    <r>
      <rPr>
        <sz val="11"/>
        <color rgb="FF2C3333"/>
        <rFont val="Calibri"/>
        <family val="2"/>
        <scheme val="minor"/>
      </rPr>
      <t>pplications
- Programming language that comes from VB6
- Macros are written in VBA
- Allows task automation
- Allows customized functions creation</t>
    </r>
  </si>
  <si>
    <r>
      <rPr>
        <b/>
        <sz val="11"/>
        <color rgb="FF2C3333"/>
        <rFont val="Calibri"/>
        <family val="2"/>
        <scheme val="minor"/>
      </rPr>
      <t>What will I learn?</t>
    </r>
    <r>
      <rPr>
        <sz val="11"/>
        <color rgb="FF2C3333"/>
        <rFont val="Calibri"/>
        <family val="2"/>
        <scheme val="minor"/>
      </rPr>
      <t xml:space="preserve">
- Loops
- Events, variables, etc.
- Record macros and code interpretation
- Automate tasks
</t>
    </r>
  </si>
  <si>
    <t>1. Work environment</t>
  </si>
  <si>
    <t>2. How to insert a function in VBA</t>
  </si>
  <si>
    <t>3. Editor options</t>
  </si>
  <si>
    <t>4. Excel functions inside VBA</t>
  </si>
  <si>
    <t>5. Cells</t>
  </si>
  <si>
    <t>Visual Basic Button opens a new window where we can find in the upper side a toolbar, in the left side all projects and in the central side the VBA code developed.
On the upper side we can add the tool "Edición" that will be usefull.
Project window contains all the projects objects and modules. For each macro we have a "Modulo".
Properties are also defined for each module.</t>
  </si>
  <si>
    <t>First, we are going to create a "Modulo". And then we are going to insert a "Procedimiento" that can be also a procedure or function. Then we can save and use the Macro</t>
  </si>
  <si>
    <t>Circle area</t>
  </si>
  <si>
    <t>Circle circunference</t>
  </si>
  <si>
    <t>If we click on "Herramientas -&gt; Opciones…" a new window will be opened and there we can set editor format, new windows, etc.
In "Herramientas -&gt; Propiedades de VBA Project -&gt; Protección" we can set a password and only read mode.</t>
  </si>
  <si>
    <t>There are already created functions that can use in VBA as PI that returns the PI number and is stored in the library worksheetfunction</t>
  </si>
  <si>
    <t>We can select cells or range of cells by using function Range and setting as parameters the cells, or a set of cells separated by commas.</t>
  </si>
  <si>
    <t>1. Conditionals with if</t>
  </si>
  <si>
    <t>2. Nested if</t>
  </si>
  <si>
    <t>3. Select case</t>
  </si>
  <si>
    <t>4. And &amp; Or</t>
  </si>
  <si>
    <t>5. Reuse code</t>
  </si>
  <si>
    <t>6. Optional arguments</t>
  </si>
  <si>
    <t>7. Variables and scope</t>
  </si>
  <si>
    <t>8. InputBox</t>
  </si>
  <si>
    <t>9. Do While Loop</t>
  </si>
  <si>
    <t>10. Fill with formulas</t>
  </si>
  <si>
    <t>11. Change formats</t>
  </si>
  <si>
    <t>12. For Loop</t>
  </si>
  <si>
    <t>1. Matrix</t>
  </si>
  <si>
    <t>2. MsgBox</t>
  </si>
  <si>
    <t>3. Book Events</t>
  </si>
  <si>
    <t>4. Sheet Events</t>
  </si>
  <si>
    <t>5. Execute programms</t>
  </si>
  <si>
    <t>6. Error control</t>
  </si>
  <si>
    <t>7. Editor configuration</t>
  </si>
  <si>
    <t>8. Debug tools</t>
  </si>
  <si>
    <t>9. Static Variables</t>
  </si>
  <si>
    <t>10. Errors declaring variables</t>
  </si>
  <si>
    <t>Score</t>
  </si>
  <si>
    <t>We can make conditions with the structure if then -&gt; else -&gt; end if</t>
  </si>
  <si>
    <t>We can nest if conditionals by using the structure if then -&gt; elseif -&gt; end if</t>
  </si>
  <si>
    <t>=calificacion1(A7)</t>
  </si>
  <si>
    <t>=calificacion1(A8)</t>
  </si>
  <si>
    <t>=calificacion1(A9)</t>
  </si>
  <si>
    <t>=calificacion2(A18)</t>
  </si>
  <si>
    <t>=calificacion2(A19)</t>
  </si>
  <si>
    <t>=calificacion2(A20)</t>
  </si>
  <si>
    <t>=calificacion2(A21)</t>
  </si>
  <si>
    <t>=calificacion2(A22)</t>
  </si>
  <si>
    <t>=calificacion2(A23)</t>
  </si>
  <si>
    <t>We can create a Case structure y using the structure Select Case -&gt; Case -&gt; End Select</t>
  </si>
  <si>
    <t>=calificacion3(A31)</t>
  </si>
  <si>
    <t>=calificacion3(A32)</t>
  </si>
  <si>
    <t>=calificacion3(A33)</t>
  </si>
  <si>
    <t>=calificacion3(A34)</t>
  </si>
  <si>
    <t>=calificacion3(A35)</t>
  </si>
  <si>
    <t>=calificacion3(A36)</t>
  </si>
  <si>
    <t>We can set multiple conditions by using AND &amp; OR.</t>
  </si>
  <si>
    <t>Faults</t>
  </si>
  <si>
    <t>=calificacion4(A45;B45)</t>
  </si>
  <si>
    <t>=calificacion4(A46;B46)</t>
  </si>
  <si>
    <t>=calificacion4(A49;B49)</t>
  </si>
  <si>
    <t>=calificacion4(A47;B47)</t>
  </si>
  <si>
    <t>=calificacion4(A48;B48)</t>
  </si>
  <si>
    <t>=calificacion4(A50;B50)</t>
  </si>
  <si>
    <t>=calificacion5(A54;B54)</t>
  </si>
  <si>
    <t>=calificacion5(A55;B55)</t>
  </si>
  <si>
    <t>=calificacion5(A56;B56)</t>
  </si>
  <si>
    <t>=calificacion5(A57;B57)</t>
  </si>
  <si>
    <t>=calificacion5(A58;B58)</t>
  </si>
  <si>
    <t>=calificacion5(A59;B59)</t>
  </si>
  <si>
    <t>We can call a function inside another function, reusing code</t>
  </si>
  <si>
    <t>=calificacion6(A70;B70)</t>
  </si>
  <si>
    <t>=calificacion6(A71;B71)</t>
  </si>
  <si>
    <t>=calificacion6(A72;B72)</t>
  </si>
  <si>
    <t>'=calificacion6(A73;B73)</t>
  </si>
  <si>
    <t>'=calificacion6(A75;B75)</t>
  </si>
  <si>
    <t>'=calificacion6(A74;B74)</t>
  </si>
  <si>
    <t>If we want to set optional arguments, we have to set before the argument "Optional"</t>
  </si>
  <si>
    <t>Bruto</t>
  </si>
  <si>
    <t>IVA</t>
  </si>
  <si>
    <t>=impuestos(A86;B86)</t>
  </si>
  <si>
    <t>=impuestos(A86)</t>
  </si>
  <si>
    <t>We can define variables by writting "dim" before writting the name of the variable and the Data Type after it.
Variables can be defined for a module or for a prodecure/function.</t>
  </si>
  <si>
    <t>With inputBox function we can create a box to require user some information.</t>
  </si>
  <si>
    <t>Bienvenido/a Cristian</t>
  </si>
  <si>
    <t>We can insert do-while loop structures by using the structure do while […] -&gt; loop</t>
  </si>
  <si>
    <t>We can fill cells with formulas instead filling with values by setting ".formula ="</t>
  </si>
  <si>
    <t>We can change number formats with ".NumberFormat", but if we want to change any other format we can look for the function by recording a macro and watching its VBA code</t>
  </si>
  <si>
    <t>=factorial1(A142)</t>
  </si>
  <si>
    <t>We can create for loops by using the structure "For […] to […] -&gt; Next"</t>
  </si>
  <si>
    <t>13. For Each</t>
  </si>
  <si>
    <t>We can create foreach loops by using the structure "For Each […]  in […] -&gt; Next"</t>
  </si>
  <si>
    <t>We can create a matrix in vba by defining it as name(number)</t>
  </si>
  <si>
    <t>=ecuacion(2;-8;3)</t>
  </si>
  <si>
    <t>We can create a message box in vba by using msgbox function</t>
  </si>
  <si>
    <t>In the upper side of the module we can define private procedures by setting "Workbook" and when do we want to be executed, by default it's on "Open"</t>
  </si>
  <si>
    <t>We can also define sheet properties, and events when we open the sheet, or whenever we define options.</t>
  </si>
  <si>
    <t>We can execute programs by using the function "Shell".</t>
  </si>
  <si>
    <t>We can control errors by writting "on error resume next". Every number has a number and the error can be deleted by using function "Clear".</t>
  </si>
  <si>
    <t>We can configure the editor by right clicking on the toolbar. We can add or delete tools, references, etc.</t>
  </si>
  <si>
    <t>We can debug by adding line "debug.print […]" and visualizing the data in "Ver -&gt; Ventana Inmediato". Also we can define inspections by right clicking on the variable and adding points in the left side bar of the code.</t>
  </si>
  <si>
    <t>Static variables are variables that stores previous executions values. They're define as "static" instead of "dim"</t>
  </si>
  <si>
    <t>Vartype returns a valid variable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</si>
</sst>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quot;€&quot;"/>
  </numFmts>
  <fonts count="10" x14ac:knownFonts="1">
    <font>
      <sz val="11"/>
      <color theme="1"/>
      <name val="Calibri"/>
      <family val="2"/>
      <scheme val="minor"/>
    </font>
    <font>
      <b/>
      <sz val="11"/>
      <color rgb="FFE7F6F2"/>
      <name val="Calibri"/>
      <family val="2"/>
      <scheme val="minor"/>
    </font>
    <font>
      <b/>
      <sz val="11"/>
      <color rgb="FFA5C9CA"/>
      <name val="Calibri"/>
      <family val="2"/>
      <scheme val="minor"/>
    </font>
    <font>
      <b/>
      <sz val="11"/>
      <color rgb="FF395B64"/>
      <name val="Calibri"/>
      <family val="2"/>
      <scheme val="minor"/>
    </font>
    <font>
      <b/>
      <sz val="11"/>
      <color rgb="FF2C3333"/>
      <name val="Calibri"/>
      <family val="2"/>
      <scheme val="minor"/>
    </font>
    <font>
      <sz val="11"/>
      <color rgb="FF2C3333"/>
      <name val="Calibri"/>
      <family val="2"/>
      <scheme val="minor"/>
    </font>
    <font>
      <b/>
      <sz val="11"/>
      <color theme="0"/>
      <name val="Calibri"/>
      <family val="2"/>
      <scheme val="minor"/>
    </font>
    <font>
      <b/>
      <sz val="11"/>
      <color theme="2"/>
      <name val="Calibri"/>
      <family val="2"/>
      <scheme val="minor"/>
    </font>
    <font>
      <sz val="11"/>
      <color rgb="FF00FF00"/>
      <name val="Calibri"/>
      <family val="2"/>
      <scheme val="minor"/>
    </font>
    <font>
      <sz val="11"/>
      <color rgb="FF6A6AE0"/>
      <name val="Calibri"/>
      <family val="2"/>
      <scheme val="minor"/>
    </font>
  </fonts>
  <fills count="6">
    <fill>
      <patternFill patternType="none"/>
    </fill>
    <fill>
      <patternFill patternType="gray125"/>
    </fill>
    <fill>
      <patternFill patternType="solid">
        <fgColor rgb="FF2C3333"/>
        <bgColor indexed="64"/>
      </patternFill>
    </fill>
    <fill>
      <patternFill patternType="solid">
        <fgColor rgb="FF395B64"/>
        <bgColor indexed="64"/>
      </patternFill>
    </fill>
    <fill>
      <patternFill patternType="solid">
        <fgColor rgb="FFA5C9CA"/>
        <bgColor indexed="64"/>
      </patternFill>
    </fill>
    <fill>
      <patternFill patternType="solid">
        <fgColor rgb="FFE7F6F2"/>
        <bgColor indexed="64"/>
      </patternFill>
    </fill>
  </fills>
  <borders count="21">
    <border>
      <left/>
      <right/>
      <top/>
      <bottom/>
      <diagonal/>
    </border>
    <border>
      <left style="thin">
        <color rgb="FF2C3333"/>
      </left>
      <right/>
      <top style="thin">
        <color rgb="FF2C3333"/>
      </top>
      <bottom/>
      <diagonal/>
    </border>
    <border>
      <left/>
      <right/>
      <top style="thin">
        <color rgb="FF2C3333"/>
      </top>
      <bottom/>
      <diagonal/>
    </border>
    <border>
      <left/>
      <right style="thin">
        <color rgb="FF2C3333"/>
      </right>
      <top style="thin">
        <color rgb="FF2C3333"/>
      </top>
      <bottom/>
      <diagonal/>
    </border>
    <border>
      <left style="thin">
        <color rgb="FF2C3333"/>
      </left>
      <right/>
      <top/>
      <bottom/>
      <diagonal/>
    </border>
    <border>
      <left/>
      <right style="thin">
        <color rgb="FF2C3333"/>
      </right>
      <top/>
      <bottom/>
      <diagonal/>
    </border>
    <border>
      <left style="thin">
        <color rgb="FF2C3333"/>
      </left>
      <right/>
      <top/>
      <bottom style="thin">
        <color rgb="FF2C3333"/>
      </bottom>
      <diagonal/>
    </border>
    <border>
      <left/>
      <right/>
      <top/>
      <bottom style="thin">
        <color rgb="FF2C3333"/>
      </bottom>
      <diagonal/>
    </border>
    <border>
      <left/>
      <right style="thin">
        <color rgb="FF2C3333"/>
      </right>
      <top/>
      <bottom style="thin">
        <color rgb="FF2C3333"/>
      </bottom>
      <diagonal/>
    </border>
    <border>
      <left style="thin">
        <color rgb="FF2C3333"/>
      </left>
      <right style="thin">
        <color rgb="FF2C3333"/>
      </right>
      <top style="thin">
        <color rgb="FF2C3333"/>
      </top>
      <bottom/>
      <diagonal/>
    </border>
    <border>
      <left style="thin">
        <color rgb="FF2C3333"/>
      </left>
      <right style="thin">
        <color rgb="FF2C3333"/>
      </right>
      <top/>
      <bottom/>
      <diagonal/>
    </border>
    <border>
      <left style="thin">
        <color rgb="FF2C3333"/>
      </left>
      <right style="thin">
        <color rgb="FF2C3333"/>
      </right>
      <top/>
      <bottom style="thin">
        <color rgb="FF2C3333"/>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s>
  <cellStyleXfs count="1">
    <xf numFmtId="0" fontId="0" fillId="0" borderId="0"/>
  </cellStyleXfs>
  <cellXfs count="66">
    <xf numFmtId="0" fontId="0" fillId="0" borderId="0" xfId="0"/>
    <xf numFmtId="0" fontId="1" fillId="2" borderId="9" xfId="0" applyFont="1" applyFill="1" applyBorder="1" applyAlignment="1">
      <alignment vertical="top"/>
    </xf>
    <xf numFmtId="0" fontId="2" fillId="3" borderId="10" xfId="0" applyFont="1" applyFill="1" applyBorder="1" applyAlignment="1">
      <alignment vertical="top"/>
    </xf>
    <xf numFmtId="0" fontId="3" fillId="4" borderId="10" xfId="0" applyFont="1" applyFill="1" applyBorder="1" applyAlignment="1">
      <alignment vertical="top"/>
    </xf>
    <xf numFmtId="0" fontId="4" fillId="5" borderId="11" xfId="0" applyFont="1" applyFill="1" applyBorder="1" applyAlignment="1">
      <alignment vertical="top"/>
    </xf>
    <xf numFmtId="164" fontId="0" fillId="0" borderId="0" xfId="0" applyNumberFormat="1"/>
    <xf numFmtId="14" fontId="5" fillId="0" borderId="0" xfId="0" applyNumberFormat="1" applyFont="1"/>
    <xf numFmtId="0" fontId="5" fillId="0" borderId="0" xfId="0" applyFont="1"/>
    <xf numFmtId="164" fontId="5" fillId="0" borderId="0" xfId="0" applyNumberFormat="1" applyFont="1"/>
    <xf numFmtId="0" fontId="0" fillId="0" borderId="0" xfId="0" quotePrefix="1" applyAlignment="1">
      <alignment vertical="top" wrapText="1"/>
    </xf>
    <xf numFmtId="0" fontId="0" fillId="0" borderId="0" xfId="0" applyAlignment="1">
      <alignment vertical="top" wrapText="1"/>
    </xf>
    <xf numFmtId="0" fontId="5" fillId="0" borderId="0" xfId="0" applyFont="1" applyAlignment="1">
      <alignment vertical="top" wrapText="1"/>
    </xf>
    <xf numFmtId="0" fontId="5" fillId="0" borderId="0" xfId="0" applyFont="1" applyAlignment="1">
      <alignment horizontal="left" vertical="top" indent="5"/>
    </xf>
    <xf numFmtId="0" fontId="5" fillId="0" borderId="0" xfId="0" quotePrefix="1" applyFont="1" applyAlignment="1">
      <alignment vertical="top" wrapText="1"/>
    </xf>
    <xf numFmtId="0" fontId="0" fillId="0" borderId="0" xfId="0" quotePrefix="1"/>
    <xf numFmtId="0" fontId="0" fillId="0" borderId="20" xfId="0" applyBorder="1"/>
    <xf numFmtId="0" fontId="8" fillId="0" borderId="0" xfId="0" applyFont="1"/>
    <xf numFmtId="0" fontId="9" fillId="0" borderId="0" xfId="0" applyFont="1"/>
    <xf numFmtId="0" fontId="5" fillId="5" borderId="1" xfId="0" applyFont="1" applyFill="1" applyBorder="1" applyAlignment="1">
      <alignment horizontal="left" vertical="top" wrapText="1" indent="5"/>
    </xf>
    <xf numFmtId="0" fontId="5" fillId="5" borderId="2" xfId="0" applyFont="1" applyFill="1" applyBorder="1" applyAlignment="1">
      <alignment horizontal="left" vertical="top" indent="5"/>
    </xf>
    <xf numFmtId="0" fontId="5" fillId="5" borderId="3" xfId="0" applyFont="1" applyFill="1" applyBorder="1" applyAlignment="1">
      <alignment horizontal="left" vertical="top" indent="5"/>
    </xf>
    <xf numFmtId="0" fontId="5" fillId="5" borderId="4" xfId="0" applyFont="1" applyFill="1" applyBorder="1" applyAlignment="1">
      <alignment horizontal="left" vertical="top" indent="5"/>
    </xf>
    <xf numFmtId="0" fontId="5" fillId="5" borderId="0" xfId="0" applyFont="1" applyFill="1" applyAlignment="1">
      <alignment horizontal="left" vertical="top" indent="5"/>
    </xf>
    <xf numFmtId="0" fontId="5" fillId="5" borderId="5" xfId="0" applyFont="1" applyFill="1" applyBorder="1" applyAlignment="1">
      <alignment horizontal="left" vertical="top" indent="5"/>
    </xf>
    <xf numFmtId="0" fontId="5" fillId="5" borderId="6" xfId="0" applyFont="1" applyFill="1" applyBorder="1" applyAlignment="1">
      <alignment horizontal="left" vertical="top" indent="5"/>
    </xf>
    <xf numFmtId="0" fontId="5" fillId="5" borderId="7" xfId="0" applyFont="1" applyFill="1" applyBorder="1" applyAlignment="1">
      <alignment horizontal="left" vertical="top" indent="5"/>
    </xf>
    <xf numFmtId="0" fontId="5" fillId="5" borderId="8" xfId="0" applyFont="1" applyFill="1" applyBorder="1" applyAlignment="1">
      <alignment horizontal="left" vertical="top" indent="5"/>
    </xf>
    <xf numFmtId="0" fontId="4" fillId="0" borderId="0" xfId="0" applyFont="1" applyAlignment="1">
      <alignment horizontal="left" vertical="top" wrapText="1" indent="5"/>
    </xf>
    <xf numFmtId="0" fontId="4" fillId="0" borderId="0" xfId="0" applyFont="1" applyAlignment="1">
      <alignment horizontal="left" vertical="top" indent="5"/>
    </xf>
    <xf numFmtId="0" fontId="0" fillId="5" borderId="12" xfId="0" applyFill="1" applyBorder="1" applyAlignment="1">
      <alignment horizontal="left" vertical="top" wrapText="1" indent="2"/>
    </xf>
    <xf numFmtId="0" fontId="0" fillId="5" borderId="13" xfId="0" applyFill="1" applyBorder="1" applyAlignment="1">
      <alignment horizontal="left" vertical="top" wrapText="1" indent="2"/>
    </xf>
    <xf numFmtId="0" fontId="0" fillId="5" borderId="14" xfId="0" applyFill="1" applyBorder="1" applyAlignment="1">
      <alignment horizontal="left" vertical="top" wrapText="1" indent="2"/>
    </xf>
    <xf numFmtId="0" fontId="0" fillId="5" borderId="17" xfId="0" applyFill="1" applyBorder="1" applyAlignment="1">
      <alignment horizontal="left" vertical="top" wrapText="1" indent="2"/>
    </xf>
    <xf numFmtId="0" fontId="0" fillId="5" borderId="18" xfId="0" applyFill="1" applyBorder="1" applyAlignment="1">
      <alignment horizontal="left" vertical="top" wrapText="1" indent="2"/>
    </xf>
    <xf numFmtId="0" fontId="0" fillId="5" borderId="19" xfId="0" applyFill="1" applyBorder="1" applyAlignment="1">
      <alignment horizontal="left" vertical="top" wrapText="1" indent="2"/>
    </xf>
    <xf numFmtId="0" fontId="1" fillId="2" borderId="0" xfId="0" applyFont="1" applyFill="1" applyAlignment="1">
      <alignment horizontal="center"/>
    </xf>
    <xf numFmtId="0" fontId="5" fillId="5" borderId="12" xfId="0" applyFont="1" applyFill="1" applyBorder="1" applyAlignment="1">
      <alignment horizontal="left" vertical="top" wrapText="1" indent="2"/>
    </xf>
    <xf numFmtId="0" fontId="5" fillId="5" borderId="13" xfId="0" applyFont="1" applyFill="1" applyBorder="1" applyAlignment="1">
      <alignment horizontal="left" vertical="top" wrapText="1" indent="2"/>
    </xf>
    <xf numFmtId="0" fontId="5" fillId="5" borderId="14" xfId="0" applyFont="1" applyFill="1" applyBorder="1" applyAlignment="1">
      <alignment horizontal="left" vertical="top" wrapText="1" indent="2"/>
    </xf>
    <xf numFmtId="0" fontId="5" fillId="5" borderId="17" xfId="0" applyFont="1" applyFill="1" applyBorder="1" applyAlignment="1">
      <alignment horizontal="left" vertical="top" wrapText="1" indent="2"/>
    </xf>
    <xf numFmtId="0" fontId="5" fillId="5" borderId="18" xfId="0" applyFont="1" applyFill="1" applyBorder="1" applyAlignment="1">
      <alignment horizontal="left" vertical="top" wrapText="1" indent="2"/>
    </xf>
    <xf numFmtId="0" fontId="5" fillId="5" borderId="19" xfId="0" applyFont="1" applyFill="1" applyBorder="1" applyAlignment="1">
      <alignment horizontal="left" vertical="top" wrapText="1" indent="2"/>
    </xf>
    <xf numFmtId="0" fontId="5" fillId="5" borderId="12" xfId="0" applyFont="1" applyFill="1" applyBorder="1" applyAlignment="1">
      <alignment horizontal="left" vertical="center" wrapText="1" indent="2"/>
    </xf>
    <xf numFmtId="0" fontId="5" fillId="5" borderId="13" xfId="0" applyFont="1" applyFill="1" applyBorder="1" applyAlignment="1">
      <alignment horizontal="left" vertical="center" wrapText="1" indent="2"/>
    </xf>
    <xf numFmtId="0" fontId="5" fillId="5" borderId="14" xfId="0" applyFont="1" applyFill="1" applyBorder="1" applyAlignment="1">
      <alignment horizontal="left" vertical="center" wrapText="1" indent="2"/>
    </xf>
    <xf numFmtId="0" fontId="5" fillId="5" borderId="15" xfId="0" applyFont="1" applyFill="1" applyBorder="1" applyAlignment="1">
      <alignment horizontal="left" vertical="center" wrapText="1" indent="2"/>
    </xf>
    <xf numFmtId="0" fontId="5" fillId="5" borderId="0" xfId="0" applyFont="1" applyFill="1" applyAlignment="1">
      <alignment horizontal="left" vertical="center" wrapText="1" indent="2"/>
    </xf>
    <xf numFmtId="0" fontId="5" fillId="5" borderId="16" xfId="0" applyFont="1" applyFill="1" applyBorder="1" applyAlignment="1">
      <alignment horizontal="left" vertical="center" wrapText="1" indent="2"/>
    </xf>
    <xf numFmtId="0" fontId="5" fillId="5" borderId="17" xfId="0" applyFont="1" applyFill="1" applyBorder="1" applyAlignment="1">
      <alignment horizontal="left" vertical="center" wrapText="1" indent="2"/>
    </xf>
    <xf numFmtId="0" fontId="5" fillId="5" borderId="18" xfId="0" applyFont="1" applyFill="1" applyBorder="1" applyAlignment="1">
      <alignment horizontal="left" vertical="center" wrapText="1" indent="2"/>
    </xf>
    <xf numFmtId="0" fontId="5" fillId="5" borderId="19" xfId="0" applyFont="1" applyFill="1" applyBorder="1" applyAlignment="1">
      <alignment horizontal="left" vertical="center" wrapText="1" indent="2"/>
    </xf>
    <xf numFmtId="0" fontId="6" fillId="2" borderId="0" xfId="0" applyFont="1" applyFill="1" applyAlignment="1">
      <alignment horizontal="center"/>
    </xf>
    <xf numFmtId="14" fontId="6" fillId="2" borderId="0" xfId="0" applyNumberFormat="1" applyFont="1" applyFill="1" applyAlignment="1">
      <alignment horizontal="center" vertical="center" wrapText="1"/>
    </xf>
    <xf numFmtId="14" fontId="5" fillId="5" borderId="12" xfId="0" applyNumberFormat="1" applyFont="1" applyFill="1" applyBorder="1" applyAlignment="1">
      <alignment horizontal="left" vertical="top" wrapText="1" indent="2"/>
    </xf>
    <xf numFmtId="14" fontId="5" fillId="5" borderId="13" xfId="0" applyNumberFormat="1" applyFont="1" applyFill="1" applyBorder="1" applyAlignment="1">
      <alignment horizontal="left" vertical="top" wrapText="1" indent="2"/>
    </xf>
    <xf numFmtId="14" fontId="5" fillId="5" borderId="14" xfId="0" applyNumberFormat="1" applyFont="1" applyFill="1" applyBorder="1" applyAlignment="1">
      <alignment horizontal="left" vertical="top" wrapText="1" indent="2"/>
    </xf>
    <xf numFmtId="14" fontId="5" fillId="5" borderId="15" xfId="0" applyNumberFormat="1" applyFont="1" applyFill="1" applyBorder="1" applyAlignment="1">
      <alignment horizontal="left" vertical="top" wrapText="1" indent="2"/>
    </xf>
    <xf numFmtId="14" fontId="5" fillId="5" borderId="0" xfId="0" applyNumberFormat="1" applyFont="1" applyFill="1" applyAlignment="1">
      <alignment horizontal="left" vertical="top" wrapText="1" indent="2"/>
    </xf>
    <xf numFmtId="14" fontId="5" fillId="5" borderId="16" xfId="0" applyNumberFormat="1" applyFont="1" applyFill="1" applyBorder="1" applyAlignment="1">
      <alignment horizontal="left" vertical="top" wrapText="1" indent="2"/>
    </xf>
    <xf numFmtId="14" fontId="5" fillId="5" borderId="17" xfId="0" applyNumberFormat="1" applyFont="1" applyFill="1" applyBorder="1" applyAlignment="1">
      <alignment horizontal="left" vertical="top" wrapText="1" indent="2"/>
    </xf>
    <xf numFmtId="14" fontId="5" fillId="5" borderId="18" xfId="0" applyNumberFormat="1" applyFont="1" applyFill="1" applyBorder="1" applyAlignment="1">
      <alignment horizontal="left" vertical="top" wrapText="1" indent="2"/>
    </xf>
    <xf numFmtId="14" fontId="5" fillId="5" borderId="19" xfId="0" applyNumberFormat="1" applyFont="1" applyFill="1" applyBorder="1" applyAlignment="1">
      <alignment horizontal="left" vertical="top" wrapText="1" indent="2"/>
    </xf>
    <xf numFmtId="0" fontId="5" fillId="5" borderId="15" xfId="0" applyFont="1" applyFill="1" applyBorder="1" applyAlignment="1">
      <alignment horizontal="left" vertical="top" wrapText="1" indent="2"/>
    </xf>
    <xf numFmtId="0" fontId="5" fillId="5" borderId="0" xfId="0" applyFont="1" applyFill="1" applyAlignment="1">
      <alignment horizontal="left" vertical="top" wrapText="1" indent="2"/>
    </xf>
    <xf numFmtId="0" fontId="5" fillId="5" borderId="16" xfId="0" applyFont="1" applyFill="1" applyBorder="1" applyAlignment="1">
      <alignment horizontal="left" vertical="top" wrapText="1" indent="2"/>
    </xf>
    <xf numFmtId="0" fontId="7" fillId="2" borderId="0" xfId="0" applyFont="1" applyFill="1" applyAlignment="1">
      <alignment horizontal="center"/>
    </xf>
  </cellXfs>
  <cellStyles count="1">
    <cellStyle name="Normal" xfId="0" builtinId="0"/>
  </cellStyles>
  <dxfs count="0"/>
  <tableStyles count="0" defaultTableStyle="TableStyleMedium2" defaultPivotStyle="PivotStyleLight16"/>
  <colors>
    <mruColors>
      <color rgb="FFA5C9CA"/>
      <color rgb="FFE7F6F2"/>
      <color rgb="FF2C33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s>
</file>

<file path=xl/drawings/_rels/drawing3.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15.png"/><Relationship Id="rId4" Type="http://schemas.openxmlformats.org/officeDocument/2006/relationships/image" Target="../media/image18.png"/></Relationships>
</file>

<file path=xl/drawings/drawing1.xml><?xml version="1.0" encoding="utf-8"?>
<xdr:wsDr xmlns:xdr="http://schemas.openxmlformats.org/drawingml/2006/spreadsheetDrawing" xmlns:a="http://schemas.openxmlformats.org/drawingml/2006/main">
  <xdr:twoCellAnchor editAs="oneCell">
    <xdr:from>
      <xdr:col>6</xdr:col>
      <xdr:colOff>19235</xdr:colOff>
      <xdr:row>14</xdr:row>
      <xdr:rowOff>17554</xdr:rowOff>
    </xdr:from>
    <xdr:to>
      <xdr:col>10</xdr:col>
      <xdr:colOff>494577</xdr:colOff>
      <xdr:row>27</xdr:row>
      <xdr:rowOff>44824</xdr:rowOff>
    </xdr:to>
    <xdr:pic>
      <xdr:nvPicPr>
        <xdr:cNvPr id="2" name="Imagen 1">
          <a:extLst>
            <a:ext uri="{FF2B5EF4-FFF2-40B4-BE49-F238E27FC236}">
              <a16:creationId xmlns:a16="http://schemas.microsoft.com/office/drawing/2014/main" id="{5D3F6338-4D99-08E7-DC94-933570B23E76}"/>
            </a:ext>
          </a:extLst>
        </xdr:cNvPr>
        <xdr:cNvPicPr>
          <a:picLocks noChangeAspect="1"/>
        </xdr:cNvPicPr>
      </xdr:nvPicPr>
      <xdr:blipFill>
        <a:blip xmlns:r="http://schemas.openxmlformats.org/officeDocument/2006/relationships" r:embed="rId1"/>
        <a:stretch>
          <a:fillRect/>
        </a:stretch>
      </xdr:blipFill>
      <xdr:spPr>
        <a:xfrm>
          <a:off x="8143500" y="2527672"/>
          <a:ext cx="4419812" cy="235809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19050</xdr:colOff>
      <xdr:row>4</xdr:row>
      <xdr:rowOff>104775</xdr:rowOff>
    </xdr:from>
    <xdr:to>
      <xdr:col>9</xdr:col>
      <xdr:colOff>16584</xdr:colOff>
      <xdr:row>11</xdr:row>
      <xdr:rowOff>57904</xdr:rowOff>
    </xdr:to>
    <xdr:pic>
      <xdr:nvPicPr>
        <xdr:cNvPr id="2" name="Imagen 1">
          <a:extLst>
            <a:ext uri="{FF2B5EF4-FFF2-40B4-BE49-F238E27FC236}">
              <a16:creationId xmlns:a16="http://schemas.microsoft.com/office/drawing/2014/main" id="{A51E4463-6383-6E7B-8CEF-BDDC6CE308C0}"/>
            </a:ext>
          </a:extLst>
        </xdr:cNvPr>
        <xdr:cNvPicPr>
          <a:picLocks noChangeAspect="1"/>
        </xdr:cNvPicPr>
      </xdr:nvPicPr>
      <xdr:blipFill>
        <a:blip xmlns:r="http://schemas.openxmlformats.org/officeDocument/2006/relationships" r:embed="rId1"/>
        <a:stretch>
          <a:fillRect/>
        </a:stretch>
      </xdr:blipFill>
      <xdr:spPr>
        <a:xfrm>
          <a:off x="4200525" y="828675"/>
          <a:ext cx="4350459" cy="1219954"/>
        </a:xfrm>
        <a:prstGeom prst="rect">
          <a:avLst/>
        </a:prstGeom>
      </xdr:spPr>
    </xdr:pic>
    <xdr:clientData/>
  </xdr:twoCellAnchor>
  <xdr:twoCellAnchor editAs="oneCell">
    <xdr:from>
      <xdr:col>2</xdr:col>
      <xdr:colOff>1526993</xdr:colOff>
      <xdr:row>16</xdr:row>
      <xdr:rowOff>9526</xdr:rowOff>
    </xdr:from>
    <xdr:to>
      <xdr:col>4</xdr:col>
      <xdr:colOff>524451</xdr:colOff>
      <xdr:row>23</xdr:row>
      <xdr:rowOff>53976</xdr:rowOff>
    </xdr:to>
    <xdr:pic>
      <xdr:nvPicPr>
        <xdr:cNvPr id="3" name="Imagen 2">
          <a:extLst>
            <a:ext uri="{FF2B5EF4-FFF2-40B4-BE49-F238E27FC236}">
              <a16:creationId xmlns:a16="http://schemas.microsoft.com/office/drawing/2014/main" id="{0430D673-CC0C-4E2E-A367-07DEECF8E119}"/>
            </a:ext>
          </a:extLst>
        </xdr:cNvPr>
        <xdr:cNvPicPr>
          <a:picLocks noChangeAspect="1"/>
        </xdr:cNvPicPr>
      </xdr:nvPicPr>
      <xdr:blipFill>
        <a:blip xmlns:r="http://schemas.openxmlformats.org/officeDocument/2006/relationships" r:embed="rId2"/>
        <a:stretch>
          <a:fillRect/>
        </a:stretch>
      </xdr:blipFill>
      <xdr:spPr>
        <a:xfrm>
          <a:off x="4165418" y="2905126"/>
          <a:ext cx="1978783" cy="1311275"/>
        </a:xfrm>
        <a:prstGeom prst="rect">
          <a:avLst/>
        </a:prstGeom>
      </xdr:spPr>
    </xdr:pic>
    <xdr:clientData/>
  </xdr:twoCellAnchor>
  <xdr:twoCellAnchor editAs="oneCell">
    <xdr:from>
      <xdr:col>2</xdr:col>
      <xdr:colOff>1543049</xdr:colOff>
      <xdr:row>30</xdr:row>
      <xdr:rowOff>1</xdr:rowOff>
    </xdr:from>
    <xdr:to>
      <xdr:col>4</xdr:col>
      <xdr:colOff>498474</xdr:colOff>
      <xdr:row>37</xdr:row>
      <xdr:rowOff>26759</xdr:rowOff>
    </xdr:to>
    <xdr:pic>
      <xdr:nvPicPr>
        <xdr:cNvPr id="4" name="Imagen 3">
          <a:extLst>
            <a:ext uri="{FF2B5EF4-FFF2-40B4-BE49-F238E27FC236}">
              <a16:creationId xmlns:a16="http://schemas.microsoft.com/office/drawing/2014/main" id="{70CDFD0C-2459-5E78-F6FB-FEA3C5BE5633}"/>
            </a:ext>
          </a:extLst>
        </xdr:cNvPr>
        <xdr:cNvPicPr>
          <a:picLocks noChangeAspect="1"/>
        </xdr:cNvPicPr>
      </xdr:nvPicPr>
      <xdr:blipFill>
        <a:blip xmlns:r="http://schemas.openxmlformats.org/officeDocument/2006/relationships" r:embed="rId3"/>
        <a:stretch>
          <a:fillRect/>
        </a:stretch>
      </xdr:blipFill>
      <xdr:spPr>
        <a:xfrm>
          <a:off x="4181474" y="5429251"/>
          <a:ext cx="1933575" cy="1290408"/>
        </a:xfrm>
        <a:prstGeom prst="rect">
          <a:avLst/>
        </a:prstGeom>
      </xdr:spPr>
    </xdr:pic>
    <xdr:clientData/>
  </xdr:twoCellAnchor>
  <xdr:twoCellAnchor editAs="oneCell">
    <xdr:from>
      <xdr:col>5</xdr:col>
      <xdr:colOff>0</xdr:colOff>
      <xdr:row>44</xdr:row>
      <xdr:rowOff>0</xdr:rowOff>
    </xdr:from>
    <xdr:to>
      <xdr:col>9</xdr:col>
      <xdr:colOff>495300</xdr:colOff>
      <xdr:row>49</xdr:row>
      <xdr:rowOff>145319</xdr:rowOff>
    </xdr:to>
    <xdr:pic>
      <xdr:nvPicPr>
        <xdr:cNvPr id="5" name="Imagen 4">
          <a:extLst>
            <a:ext uri="{FF2B5EF4-FFF2-40B4-BE49-F238E27FC236}">
              <a16:creationId xmlns:a16="http://schemas.microsoft.com/office/drawing/2014/main" id="{BD53EA92-C619-8361-7F81-DE3589857005}"/>
            </a:ext>
          </a:extLst>
        </xdr:cNvPr>
        <xdr:cNvPicPr>
          <a:picLocks noChangeAspect="1"/>
        </xdr:cNvPicPr>
      </xdr:nvPicPr>
      <xdr:blipFill>
        <a:blip xmlns:r="http://schemas.openxmlformats.org/officeDocument/2006/relationships" r:embed="rId4"/>
        <a:stretch>
          <a:fillRect/>
        </a:stretch>
      </xdr:blipFill>
      <xdr:spPr>
        <a:xfrm>
          <a:off x="6276975" y="7962900"/>
          <a:ext cx="2752725" cy="1053369"/>
        </a:xfrm>
        <a:prstGeom prst="rect">
          <a:avLst/>
        </a:prstGeom>
      </xdr:spPr>
    </xdr:pic>
    <xdr:clientData/>
  </xdr:twoCellAnchor>
  <xdr:twoCellAnchor editAs="oneCell">
    <xdr:from>
      <xdr:col>4</xdr:col>
      <xdr:colOff>638175</xdr:colOff>
      <xdr:row>52</xdr:row>
      <xdr:rowOff>171450</xdr:rowOff>
    </xdr:from>
    <xdr:to>
      <xdr:col>10</xdr:col>
      <xdr:colOff>257175</xdr:colOff>
      <xdr:row>58</xdr:row>
      <xdr:rowOff>172325</xdr:rowOff>
    </xdr:to>
    <xdr:pic>
      <xdr:nvPicPr>
        <xdr:cNvPr id="6" name="Imagen 5">
          <a:extLst>
            <a:ext uri="{FF2B5EF4-FFF2-40B4-BE49-F238E27FC236}">
              <a16:creationId xmlns:a16="http://schemas.microsoft.com/office/drawing/2014/main" id="{DAB86542-08E9-127B-070D-449041FC9164}"/>
            </a:ext>
          </a:extLst>
        </xdr:cNvPr>
        <xdr:cNvPicPr>
          <a:picLocks noChangeAspect="1"/>
        </xdr:cNvPicPr>
      </xdr:nvPicPr>
      <xdr:blipFill>
        <a:blip xmlns:r="http://schemas.openxmlformats.org/officeDocument/2006/relationships" r:embed="rId5"/>
        <a:stretch>
          <a:fillRect/>
        </a:stretch>
      </xdr:blipFill>
      <xdr:spPr>
        <a:xfrm>
          <a:off x="6257925" y="9591675"/>
          <a:ext cx="3035300" cy="1086725"/>
        </a:xfrm>
        <a:prstGeom prst="rect">
          <a:avLst/>
        </a:prstGeom>
      </xdr:spPr>
    </xdr:pic>
    <xdr:clientData/>
  </xdr:twoCellAnchor>
  <xdr:twoCellAnchor editAs="oneCell">
    <xdr:from>
      <xdr:col>4</xdr:col>
      <xdr:colOff>647700</xdr:colOff>
      <xdr:row>68</xdr:row>
      <xdr:rowOff>161925</xdr:rowOff>
    </xdr:from>
    <xdr:to>
      <xdr:col>10</xdr:col>
      <xdr:colOff>330200</xdr:colOff>
      <xdr:row>75</xdr:row>
      <xdr:rowOff>12021</xdr:rowOff>
    </xdr:to>
    <xdr:pic>
      <xdr:nvPicPr>
        <xdr:cNvPr id="7" name="Imagen 6">
          <a:extLst>
            <a:ext uri="{FF2B5EF4-FFF2-40B4-BE49-F238E27FC236}">
              <a16:creationId xmlns:a16="http://schemas.microsoft.com/office/drawing/2014/main" id="{0363420C-4526-A65E-1925-72388B4E96B2}"/>
            </a:ext>
          </a:extLst>
        </xdr:cNvPr>
        <xdr:cNvPicPr>
          <a:picLocks noChangeAspect="1"/>
        </xdr:cNvPicPr>
      </xdr:nvPicPr>
      <xdr:blipFill>
        <a:blip xmlns:r="http://schemas.openxmlformats.org/officeDocument/2006/relationships" r:embed="rId6"/>
        <a:stretch>
          <a:fillRect/>
        </a:stretch>
      </xdr:blipFill>
      <xdr:spPr>
        <a:xfrm>
          <a:off x="6267450" y="12477750"/>
          <a:ext cx="3105150" cy="1113746"/>
        </a:xfrm>
        <a:prstGeom prst="rect">
          <a:avLst/>
        </a:prstGeom>
      </xdr:spPr>
    </xdr:pic>
    <xdr:clientData/>
  </xdr:twoCellAnchor>
  <xdr:twoCellAnchor editAs="oneCell">
    <xdr:from>
      <xdr:col>4</xdr:col>
      <xdr:colOff>647700</xdr:colOff>
      <xdr:row>83</xdr:row>
      <xdr:rowOff>142875</xdr:rowOff>
    </xdr:from>
    <xdr:to>
      <xdr:col>8</xdr:col>
      <xdr:colOff>511175</xdr:colOff>
      <xdr:row>88</xdr:row>
      <xdr:rowOff>914</xdr:rowOff>
    </xdr:to>
    <xdr:pic>
      <xdr:nvPicPr>
        <xdr:cNvPr id="8" name="Imagen 7">
          <a:extLst>
            <a:ext uri="{FF2B5EF4-FFF2-40B4-BE49-F238E27FC236}">
              <a16:creationId xmlns:a16="http://schemas.microsoft.com/office/drawing/2014/main" id="{EBD5D1D1-00B5-4982-1AB7-9C2B159ACCC2}"/>
            </a:ext>
          </a:extLst>
        </xdr:cNvPr>
        <xdr:cNvPicPr>
          <a:picLocks noChangeAspect="1"/>
        </xdr:cNvPicPr>
      </xdr:nvPicPr>
      <xdr:blipFill>
        <a:blip xmlns:r="http://schemas.openxmlformats.org/officeDocument/2006/relationships" r:embed="rId7"/>
        <a:stretch>
          <a:fillRect/>
        </a:stretch>
      </xdr:blipFill>
      <xdr:spPr>
        <a:xfrm>
          <a:off x="6267450" y="15173325"/>
          <a:ext cx="2235200" cy="762914"/>
        </a:xfrm>
        <a:prstGeom prst="rect">
          <a:avLst/>
        </a:prstGeom>
      </xdr:spPr>
    </xdr:pic>
    <xdr:clientData/>
  </xdr:twoCellAnchor>
  <xdr:twoCellAnchor editAs="oneCell">
    <xdr:from>
      <xdr:col>5</xdr:col>
      <xdr:colOff>6351</xdr:colOff>
      <xdr:row>98</xdr:row>
      <xdr:rowOff>177800</xdr:rowOff>
    </xdr:from>
    <xdr:to>
      <xdr:col>10</xdr:col>
      <xdr:colOff>17610</xdr:colOff>
      <xdr:row>103</xdr:row>
      <xdr:rowOff>63500</xdr:rowOff>
    </xdr:to>
    <xdr:pic>
      <xdr:nvPicPr>
        <xdr:cNvPr id="9" name="Imagen 8">
          <a:extLst>
            <a:ext uri="{FF2B5EF4-FFF2-40B4-BE49-F238E27FC236}">
              <a16:creationId xmlns:a16="http://schemas.microsoft.com/office/drawing/2014/main" id="{321D23CE-D211-F1C0-FC53-FB17626242AE}"/>
            </a:ext>
          </a:extLst>
        </xdr:cNvPr>
        <xdr:cNvPicPr>
          <a:picLocks noChangeAspect="1"/>
        </xdr:cNvPicPr>
      </xdr:nvPicPr>
      <xdr:blipFill>
        <a:blip xmlns:r="http://schemas.openxmlformats.org/officeDocument/2006/relationships" r:embed="rId8"/>
        <a:stretch>
          <a:fillRect/>
        </a:stretch>
      </xdr:blipFill>
      <xdr:spPr>
        <a:xfrm>
          <a:off x="6483351" y="17922875"/>
          <a:ext cx="2773509" cy="790575"/>
        </a:xfrm>
        <a:prstGeom prst="rect">
          <a:avLst/>
        </a:prstGeom>
      </xdr:spPr>
    </xdr:pic>
    <xdr:clientData/>
  </xdr:twoCellAnchor>
  <xdr:twoCellAnchor editAs="oneCell">
    <xdr:from>
      <xdr:col>0</xdr:col>
      <xdr:colOff>781050</xdr:colOff>
      <xdr:row>109</xdr:row>
      <xdr:rowOff>47625</xdr:rowOff>
    </xdr:from>
    <xdr:to>
      <xdr:col>2</xdr:col>
      <xdr:colOff>552450</xdr:colOff>
      <xdr:row>113</xdr:row>
      <xdr:rowOff>49704</xdr:rowOff>
    </xdr:to>
    <xdr:pic>
      <xdr:nvPicPr>
        <xdr:cNvPr id="10" name="Imagen 9">
          <a:extLst>
            <a:ext uri="{FF2B5EF4-FFF2-40B4-BE49-F238E27FC236}">
              <a16:creationId xmlns:a16="http://schemas.microsoft.com/office/drawing/2014/main" id="{4D02E2E0-6E12-55A4-67D7-7F17060CE826}"/>
            </a:ext>
          </a:extLst>
        </xdr:cNvPr>
        <xdr:cNvPicPr>
          <a:picLocks noChangeAspect="1"/>
        </xdr:cNvPicPr>
      </xdr:nvPicPr>
      <xdr:blipFill>
        <a:blip xmlns:r="http://schemas.openxmlformats.org/officeDocument/2006/relationships" r:embed="rId9"/>
        <a:stretch>
          <a:fillRect/>
        </a:stretch>
      </xdr:blipFill>
      <xdr:spPr>
        <a:xfrm>
          <a:off x="781050" y="19783425"/>
          <a:ext cx="2609850" cy="722804"/>
        </a:xfrm>
        <a:prstGeom prst="rect">
          <a:avLst/>
        </a:prstGeom>
      </xdr:spPr>
    </xdr:pic>
    <xdr:clientData/>
  </xdr:twoCellAnchor>
  <xdr:twoCellAnchor editAs="oneCell">
    <xdr:from>
      <xdr:col>5</xdr:col>
      <xdr:colOff>1</xdr:colOff>
      <xdr:row>109</xdr:row>
      <xdr:rowOff>1</xdr:rowOff>
    </xdr:from>
    <xdr:to>
      <xdr:col>9</xdr:col>
      <xdr:colOff>63501</xdr:colOff>
      <xdr:row>113</xdr:row>
      <xdr:rowOff>31168</xdr:rowOff>
    </xdr:to>
    <xdr:pic>
      <xdr:nvPicPr>
        <xdr:cNvPr id="11" name="Imagen 10">
          <a:extLst>
            <a:ext uri="{FF2B5EF4-FFF2-40B4-BE49-F238E27FC236}">
              <a16:creationId xmlns:a16="http://schemas.microsoft.com/office/drawing/2014/main" id="{B038B626-9D0D-2C4E-1663-3AFB803DB2CA}"/>
            </a:ext>
          </a:extLst>
        </xdr:cNvPr>
        <xdr:cNvPicPr>
          <a:picLocks noChangeAspect="1"/>
        </xdr:cNvPicPr>
      </xdr:nvPicPr>
      <xdr:blipFill>
        <a:blip xmlns:r="http://schemas.openxmlformats.org/officeDocument/2006/relationships" r:embed="rId10"/>
        <a:stretch>
          <a:fillRect/>
        </a:stretch>
      </xdr:blipFill>
      <xdr:spPr>
        <a:xfrm>
          <a:off x="6477001" y="19735801"/>
          <a:ext cx="2324100" cy="758242"/>
        </a:xfrm>
        <a:prstGeom prst="rect">
          <a:avLst/>
        </a:prstGeom>
      </xdr:spPr>
    </xdr:pic>
    <xdr:clientData/>
  </xdr:twoCellAnchor>
  <xdr:twoCellAnchor editAs="oneCell">
    <xdr:from>
      <xdr:col>0</xdr:col>
      <xdr:colOff>0</xdr:colOff>
      <xdr:row>120</xdr:row>
      <xdr:rowOff>1</xdr:rowOff>
    </xdr:from>
    <xdr:to>
      <xdr:col>3</xdr:col>
      <xdr:colOff>1301750</xdr:colOff>
      <xdr:row>128</xdr:row>
      <xdr:rowOff>160656</xdr:rowOff>
    </xdr:to>
    <xdr:pic>
      <xdr:nvPicPr>
        <xdr:cNvPr id="12" name="Imagen 11">
          <a:extLst>
            <a:ext uri="{FF2B5EF4-FFF2-40B4-BE49-F238E27FC236}">
              <a16:creationId xmlns:a16="http://schemas.microsoft.com/office/drawing/2014/main" id="{55998358-6993-1A19-6C37-C983837E3EE7}"/>
            </a:ext>
          </a:extLst>
        </xdr:cNvPr>
        <xdr:cNvPicPr>
          <a:picLocks noChangeAspect="1"/>
        </xdr:cNvPicPr>
      </xdr:nvPicPr>
      <xdr:blipFill>
        <a:blip xmlns:r="http://schemas.openxmlformats.org/officeDocument/2006/relationships" r:embed="rId11"/>
        <a:stretch>
          <a:fillRect/>
        </a:stretch>
      </xdr:blipFill>
      <xdr:spPr>
        <a:xfrm>
          <a:off x="0" y="21726526"/>
          <a:ext cx="5686425" cy="1611630"/>
        </a:xfrm>
        <a:prstGeom prst="rect">
          <a:avLst/>
        </a:prstGeom>
      </xdr:spPr>
    </xdr:pic>
    <xdr:clientData/>
  </xdr:twoCellAnchor>
  <xdr:twoCellAnchor editAs="oneCell">
    <xdr:from>
      <xdr:col>4</xdr:col>
      <xdr:colOff>0</xdr:colOff>
      <xdr:row>141</xdr:row>
      <xdr:rowOff>0</xdr:rowOff>
    </xdr:from>
    <xdr:to>
      <xdr:col>7</xdr:col>
      <xdr:colOff>457200</xdr:colOff>
      <xdr:row>146</xdr:row>
      <xdr:rowOff>28356</xdr:rowOff>
    </xdr:to>
    <xdr:pic>
      <xdr:nvPicPr>
        <xdr:cNvPr id="13" name="Imagen 12">
          <a:extLst>
            <a:ext uri="{FF2B5EF4-FFF2-40B4-BE49-F238E27FC236}">
              <a16:creationId xmlns:a16="http://schemas.microsoft.com/office/drawing/2014/main" id="{FA89FF85-7AAF-B059-8552-752ABA57D4E4}"/>
            </a:ext>
          </a:extLst>
        </xdr:cNvPr>
        <xdr:cNvPicPr>
          <a:picLocks noChangeAspect="1"/>
        </xdr:cNvPicPr>
      </xdr:nvPicPr>
      <xdr:blipFill>
        <a:blip xmlns:r="http://schemas.openxmlformats.org/officeDocument/2006/relationships" r:embed="rId12"/>
        <a:stretch>
          <a:fillRect/>
        </a:stretch>
      </xdr:blipFill>
      <xdr:spPr>
        <a:xfrm>
          <a:off x="5819775" y="25527000"/>
          <a:ext cx="2352675" cy="930056"/>
        </a:xfrm>
        <a:prstGeom prst="rect">
          <a:avLst/>
        </a:prstGeom>
      </xdr:spPr>
    </xdr:pic>
    <xdr:clientData/>
  </xdr:twoCellAnchor>
  <xdr:twoCellAnchor editAs="oneCell">
    <xdr:from>
      <xdr:col>0</xdr:col>
      <xdr:colOff>0</xdr:colOff>
      <xdr:row>153</xdr:row>
      <xdr:rowOff>0</xdr:rowOff>
    </xdr:from>
    <xdr:to>
      <xdr:col>2</xdr:col>
      <xdr:colOff>1429346</xdr:colOff>
      <xdr:row>162</xdr:row>
      <xdr:rowOff>133596</xdr:rowOff>
    </xdr:to>
    <xdr:pic>
      <xdr:nvPicPr>
        <xdr:cNvPr id="14" name="Imagen 13">
          <a:extLst>
            <a:ext uri="{FF2B5EF4-FFF2-40B4-BE49-F238E27FC236}">
              <a16:creationId xmlns:a16="http://schemas.microsoft.com/office/drawing/2014/main" id="{E49BDB16-223C-737F-98E6-0701A83F57E6}"/>
            </a:ext>
          </a:extLst>
        </xdr:cNvPr>
        <xdr:cNvPicPr>
          <a:picLocks noChangeAspect="1"/>
        </xdr:cNvPicPr>
      </xdr:nvPicPr>
      <xdr:blipFill>
        <a:blip xmlns:r="http://schemas.openxmlformats.org/officeDocument/2006/relationships" r:embed="rId13"/>
        <a:stretch>
          <a:fillRect/>
        </a:stretch>
      </xdr:blipFill>
      <xdr:spPr>
        <a:xfrm>
          <a:off x="0" y="27698700"/>
          <a:ext cx="4267796" cy="17623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0</xdr:colOff>
      <xdr:row>5</xdr:row>
      <xdr:rowOff>0</xdr:rowOff>
    </xdr:from>
    <xdr:to>
      <xdr:col>7</xdr:col>
      <xdr:colOff>295275</xdr:colOff>
      <xdr:row>9</xdr:row>
      <xdr:rowOff>126873</xdr:rowOff>
    </xdr:to>
    <xdr:pic>
      <xdr:nvPicPr>
        <xdr:cNvPr id="2" name="Imagen 1">
          <a:extLst>
            <a:ext uri="{FF2B5EF4-FFF2-40B4-BE49-F238E27FC236}">
              <a16:creationId xmlns:a16="http://schemas.microsoft.com/office/drawing/2014/main" id="{FEE9ACEE-B70F-BE98-4B65-F3FF81F71E68}"/>
            </a:ext>
          </a:extLst>
        </xdr:cNvPr>
        <xdr:cNvPicPr>
          <a:picLocks noChangeAspect="1"/>
        </xdr:cNvPicPr>
      </xdr:nvPicPr>
      <xdr:blipFill>
        <a:blip xmlns:r="http://schemas.openxmlformats.org/officeDocument/2006/relationships" r:embed="rId1"/>
        <a:stretch>
          <a:fillRect/>
        </a:stretch>
      </xdr:blipFill>
      <xdr:spPr>
        <a:xfrm>
          <a:off x="3352800" y="904875"/>
          <a:ext cx="2981325" cy="850773"/>
        </a:xfrm>
        <a:prstGeom prst="rect">
          <a:avLst/>
        </a:prstGeom>
      </xdr:spPr>
    </xdr:pic>
    <xdr:clientData/>
  </xdr:twoCellAnchor>
  <xdr:twoCellAnchor editAs="oneCell">
    <xdr:from>
      <xdr:col>0</xdr:col>
      <xdr:colOff>0</xdr:colOff>
      <xdr:row>17</xdr:row>
      <xdr:rowOff>25400</xdr:rowOff>
    </xdr:from>
    <xdr:to>
      <xdr:col>3</xdr:col>
      <xdr:colOff>685800</xdr:colOff>
      <xdr:row>24</xdr:row>
      <xdr:rowOff>153794</xdr:rowOff>
    </xdr:to>
    <xdr:pic>
      <xdr:nvPicPr>
        <xdr:cNvPr id="3" name="Imagen 2">
          <a:extLst>
            <a:ext uri="{FF2B5EF4-FFF2-40B4-BE49-F238E27FC236}">
              <a16:creationId xmlns:a16="http://schemas.microsoft.com/office/drawing/2014/main" id="{EB6D97C6-4EAF-EB06-47D2-225CF7633FA2}"/>
            </a:ext>
          </a:extLst>
        </xdr:cNvPr>
        <xdr:cNvPicPr>
          <a:picLocks noChangeAspect="1"/>
        </xdr:cNvPicPr>
      </xdr:nvPicPr>
      <xdr:blipFill>
        <a:blip xmlns:r="http://schemas.openxmlformats.org/officeDocument/2006/relationships" r:embed="rId2"/>
        <a:stretch>
          <a:fillRect/>
        </a:stretch>
      </xdr:blipFill>
      <xdr:spPr>
        <a:xfrm>
          <a:off x="0" y="3101975"/>
          <a:ext cx="4038600" cy="1395219"/>
        </a:xfrm>
        <a:prstGeom prst="rect">
          <a:avLst/>
        </a:prstGeom>
      </xdr:spPr>
    </xdr:pic>
    <xdr:clientData/>
  </xdr:twoCellAnchor>
  <xdr:twoCellAnchor editAs="oneCell">
    <xdr:from>
      <xdr:col>0</xdr:col>
      <xdr:colOff>0</xdr:colOff>
      <xdr:row>43</xdr:row>
      <xdr:rowOff>152400</xdr:rowOff>
    </xdr:from>
    <xdr:to>
      <xdr:col>1</xdr:col>
      <xdr:colOff>1181426</xdr:colOff>
      <xdr:row>48</xdr:row>
      <xdr:rowOff>35035</xdr:rowOff>
    </xdr:to>
    <xdr:pic>
      <xdr:nvPicPr>
        <xdr:cNvPr id="4" name="Imagen 3">
          <a:extLst>
            <a:ext uri="{FF2B5EF4-FFF2-40B4-BE49-F238E27FC236}">
              <a16:creationId xmlns:a16="http://schemas.microsoft.com/office/drawing/2014/main" id="{A2FDE09A-4967-0480-72E9-904CE785204D}"/>
            </a:ext>
          </a:extLst>
        </xdr:cNvPr>
        <xdr:cNvPicPr>
          <a:picLocks noChangeAspect="1"/>
        </xdr:cNvPicPr>
      </xdr:nvPicPr>
      <xdr:blipFill>
        <a:blip xmlns:r="http://schemas.openxmlformats.org/officeDocument/2006/relationships" r:embed="rId3"/>
        <a:stretch>
          <a:fillRect/>
        </a:stretch>
      </xdr:blipFill>
      <xdr:spPr>
        <a:xfrm>
          <a:off x="0" y="7934325"/>
          <a:ext cx="2333951" cy="787510"/>
        </a:xfrm>
        <a:prstGeom prst="rect">
          <a:avLst/>
        </a:prstGeom>
      </xdr:spPr>
    </xdr:pic>
    <xdr:clientData/>
  </xdr:twoCellAnchor>
  <xdr:twoCellAnchor editAs="oneCell">
    <xdr:from>
      <xdr:col>0</xdr:col>
      <xdr:colOff>0</xdr:colOff>
      <xdr:row>53</xdr:row>
      <xdr:rowOff>180974</xdr:rowOff>
    </xdr:from>
    <xdr:to>
      <xdr:col>2</xdr:col>
      <xdr:colOff>486529</xdr:colOff>
      <xdr:row>63</xdr:row>
      <xdr:rowOff>19049</xdr:rowOff>
    </xdr:to>
    <xdr:pic>
      <xdr:nvPicPr>
        <xdr:cNvPr id="5" name="Imagen 4">
          <a:extLst>
            <a:ext uri="{FF2B5EF4-FFF2-40B4-BE49-F238E27FC236}">
              <a16:creationId xmlns:a16="http://schemas.microsoft.com/office/drawing/2014/main" id="{8066B459-C26B-D0E1-9AF1-0EC9A24348DB}"/>
            </a:ext>
          </a:extLst>
        </xdr:cNvPr>
        <xdr:cNvPicPr>
          <a:picLocks noChangeAspect="1"/>
        </xdr:cNvPicPr>
      </xdr:nvPicPr>
      <xdr:blipFill>
        <a:blip xmlns:r="http://schemas.openxmlformats.org/officeDocument/2006/relationships" r:embed="rId4"/>
        <a:stretch>
          <a:fillRect/>
        </a:stretch>
      </xdr:blipFill>
      <xdr:spPr>
        <a:xfrm>
          <a:off x="0" y="9772649"/>
          <a:ext cx="3124954" cy="164782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2C3333"/>
  </sheetPr>
  <dimension ref="B2:G26"/>
  <sheetViews>
    <sheetView showGridLines="0" workbookViewId="0">
      <selection activeCell="E27" sqref="E27"/>
    </sheetView>
  </sheetViews>
  <sheetFormatPr baseColWidth="10" defaultColWidth="8.7265625" defaultRowHeight="14.5" x14ac:dyDescent="0.35"/>
  <cols>
    <col min="5" max="5" width="24.36328125" customWidth="1"/>
  </cols>
  <sheetData>
    <row r="2" spans="2:7" x14ac:dyDescent="0.35">
      <c r="B2" s="18" t="s">
        <v>4</v>
      </c>
      <c r="C2" s="19"/>
      <c r="D2" s="19"/>
      <c r="E2" s="20"/>
    </row>
    <row r="3" spans="2:7" x14ac:dyDescent="0.35">
      <c r="B3" s="21"/>
      <c r="C3" s="22"/>
      <c r="D3" s="22"/>
      <c r="E3" s="23"/>
    </row>
    <row r="4" spans="2:7" x14ac:dyDescent="0.35">
      <c r="B4" s="21"/>
      <c r="C4" s="22"/>
      <c r="D4" s="22"/>
      <c r="E4" s="23"/>
    </row>
    <row r="5" spans="2:7" x14ac:dyDescent="0.35">
      <c r="B5" s="21"/>
      <c r="C5" s="22"/>
      <c r="D5" s="22"/>
      <c r="E5" s="23"/>
    </row>
    <row r="6" spans="2:7" x14ac:dyDescent="0.35">
      <c r="B6" s="21"/>
      <c r="C6" s="22"/>
      <c r="D6" s="22"/>
      <c r="E6" s="23"/>
    </row>
    <row r="7" spans="2:7" x14ac:dyDescent="0.35">
      <c r="B7" s="21"/>
      <c r="C7" s="22"/>
      <c r="D7" s="22"/>
      <c r="E7" s="23"/>
    </row>
    <row r="8" spans="2:7" x14ac:dyDescent="0.35">
      <c r="B8" s="24"/>
      <c r="C8" s="25"/>
      <c r="D8" s="25"/>
      <c r="E8" s="26"/>
    </row>
    <row r="9" spans="2:7" x14ac:dyDescent="0.35">
      <c r="B9" s="12"/>
      <c r="C9" s="12"/>
      <c r="D9" s="12"/>
      <c r="E9" s="12"/>
    </row>
    <row r="11" spans="2:7" x14ac:dyDescent="0.35">
      <c r="B11" s="18" t="s">
        <v>5</v>
      </c>
      <c r="C11" s="19"/>
      <c r="D11" s="19"/>
      <c r="E11" s="20"/>
      <c r="G11" s="1" t="s">
        <v>0</v>
      </c>
    </row>
    <row r="12" spans="2:7" x14ac:dyDescent="0.35">
      <c r="B12" s="21"/>
      <c r="C12" s="22"/>
      <c r="D12" s="22"/>
      <c r="E12" s="23"/>
      <c r="G12" s="2" t="s">
        <v>1</v>
      </c>
    </row>
    <row r="13" spans="2:7" x14ac:dyDescent="0.35">
      <c r="B13" s="21"/>
      <c r="C13" s="22"/>
      <c r="D13" s="22"/>
      <c r="E13" s="23"/>
      <c r="G13" s="3" t="s">
        <v>2</v>
      </c>
    </row>
    <row r="14" spans="2:7" x14ac:dyDescent="0.35">
      <c r="B14" s="21"/>
      <c r="C14" s="22"/>
      <c r="D14" s="22"/>
      <c r="E14" s="23"/>
      <c r="G14" s="4" t="s">
        <v>3</v>
      </c>
    </row>
    <row r="15" spans="2:7" x14ac:dyDescent="0.35">
      <c r="B15" s="21"/>
      <c r="C15" s="22"/>
      <c r="D15" s="22"/>
      <c r="E15" s="23"/>
    </row>
    <row r="16" spans="2:7" x14ac:dyDescent="0.35">
      <c r="B16" s="21"/>
      <c r="C16" s="22"/>
      <c r="D16" s="22"/>
      <c r="E16" s="23"/>
    </row>
    <row r="17" spans="2:5" x14ac:dyDescent="0.35">
      <c r="B17" s="24"/>
      <c r="C17" s="25"/>
      <c r="D17" s="25"/>
      <c r="E17" s="26"/>
    </row>
    <row r="20" spans="2:5" x14ac:dyDescent="0.35">
      <c r="B20" s="27"/>
      <c r="C20" s="28"/>
      <c r="D20" s="28"/>
      <c r="E20" s="28"/>
    </row>
    <row r="21" spans="2:5" x14ac:dyDescent="0.35">
      <c r="B21" s="28"/>
      <c r="C21" s="28"/>
      <c r="D21" s="28"/>
      <c r="E21" s="28"/>
    </row>
    <row r="22" spans="2:5" x14ac:dyDescent="0.35">
      <c r="B22" s="28"/>
      <c r="C22" s="28"/>
      <c r="D22" s="28"/>
      <c r="E22" s="28"/>
    </row>
    <row r="23" spans="2:5" x14ac:dyDescent="0.35">
      <c r="B23" s="28"/>
      <c r="C23" s="28"/>
      <c r="D23" s="28"/>
      <c r="E23" s="28"/>
    </row>
    <row r="24" spans="2:5" x14ac:dyDescent="0.35">
      <c r="B24" s="28"/>
      <c r="C24" s="28"/>
      <c r="D24" s="28"/>
      <c r="E24" s="28"/>
    </row>
    <row r="25" spans="2:5" x14ac:dyDescent="0.35">
      <c r="B25" s="28"/>
      <c r="C25" s="28"/>
      <c r="D25" s="28"/>
      <c r="E25" s="28"/>
    </row>
    <row r="26" spans="2:5" x14ac:dyDescent="0.35">
      <c r="B26" s="28"/>
      <c r="C26" s="28"/>
      <c r="D26" s="28"/>
      <c r="E26" s="28"/>
    </row>
  </sheetData>
  <mergeCells count="3">
    <mergeCell ref="B11:E17"/>
    <mergeCell ref="B20:E26"/>
    <mergeCell ref="B2:E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4D06B-3E53-4E29-92B4-8E0B13C97A11}">
  <sheetPr codeName="Hoja2" filterMode="1">
    <tabColor rgb="FFA5C9CA"/>
  </sheetPr>
  <dimension ref="A2:N47"/>
  <sheetViews>
    <sheetView topLeftCell="A7" zoomScale="85" zoomScaleNormal="85" workbookViewId="0">
      <selection activeCell="A44" sqref="A44:F45"/>
    </sheetView>
  </sheetViews>
  <sheetFormatPr baseColWidth="10" defaultRowHeight="14.5" x14ac:dyDescent="0.35"/>
  <cols>
    <col min="1" max="1" width="18.54296875" bestFit="1" customWidth="1"/>
    <col min="2" max="2" width="21.81640625" bestFit="1" customWidth="1"/>
    <col min="3" max="3" width="10.7265625" customWidth="1"/>
    <col min="4" max="4" width="36.6328125" style="5" customWidth="1"/>
    <col min="5" max="5" width="16.6328125" bestFit="1" customWidth="1"/>
    <col min="6" max="6" width="11.7265625" bestFit="1" customWidth="1"/>
    <col min="7" max="7" width="14.26953125" bestFit="1" customWidth="1"/>
    <col min="8" max="8" width="15.90625" bestFit="1" customWidth="1"/>
    <col min="9" max="9" width="10.453125" customWidth="1"/>
    <col min="10" max="10" width="15.90625" customWidth="1"/>
    <col min="11" max="11" width="13.7265625" bestFit="1" customWidth="1"/>
    <col min="12" max="12" width="16.6328125" bestFit="1" customWidth="1"/>
    <col min="18" max="18" width="16.6328125" bestFit="1" customWidth="1"/>
  </cols>
  <sheetData>
    <row r="2" spans="1:9" x14ac:dyDescent="0.35">
      <c r="A2" s="51" t="s">
        <v>6</v>
      </c>
      <c r="B2" s="51"/>
    </row>
    <row r="3" spans="1:9" ht="14.5" customHeight="1" x14ac:dyDescent="0.35">
      <c r="A3" s="42" t="s">
        <v>11</v>
      </c>
      <c r="B3" s="43"/>
      <c r="C3" s="43"/>
      <c r="D3" s="43"/>
      <c r="E3" s="43"/>
      <c r="F3" s="44"/>
    </row>
    <row r="4" spans="1:9" x14ac:dyDescent="0.35">
      <c r="A4" s="45"/>
      <c r="B4" s="46"/>
      <c r="C4" s="46"/>
      <c r="D4" s="46"/>
      <c r="E4" s="46"/>
      <c r="F4" s="47"/>
    </row>
    <row r="5" spans="1:9" x14ac:dyDescent="0.35">
      <c r="A5" s="45"/>
      <c r="B5" s="46"/>
      <c r="C5" s="46"/>
      <c r="D5" s="46"/>
      <c r="E5" s="46"/>
      <c r="F5" s="47"/>
    </row>
    <row r="6" spans="1:9" x14ac:dyDescent="0.35">
      <c r="A6" s="45"/>
      <c r="B6" s="46"/>
      <c r="C6" s="46"/>
      <c r="D6" s="46"/>
      <c r="E6" s="46"/>
      <c r="F6" s="47"/>
    </row>
    <row r="7" spans="1:9" x14ac:dyDescent="0.35">
      <c r="A7" s="45"/>
      <c r="B7" s="46"/>
      <c r="C7" s="46"/>
      <c r="D7" s="46"/>
      <c r="E7" s="46"/>
      <c r="F7" s="47"/>
    </row>
    <row r="8" spans="1:9" x14ac:dyDescent="0.35">
      <c r="A8" s="48"/>
      <c r="B8" s="49"/>
      <c r="C8" s="49"/>
      <c r="D8" s="49"/>
      <c r="E8" s="49"/>
      <c r="F8" s="50"/>
    </row>
    <row r="11" spans="1:9" x14ac:dyDescent="0.35">
      <c r="A11" s="6"/>
      <c r="B11" s="7"/>
      <c r="C11" s="7"/>
      <c r="D11" s="8"/>
      <c r="F11" s="9"/>
      <c r="G11" s="9"/>
      <c r="H11" s="9"/>
      <c r="I11" s="9"/>
    </row>
    <row r="12" spans="1:9" x14ac:dyDescent="0.35">
      <c r="A12" s="6"/>
      <c r="B12" s="7"/>
      <c r="C12" s="7"/>
      <c r="D12" s="8"/>
      <c r="F12" s="9"/>
      <c r="G12" s="9"/>
      <c r="H12" s="9"/>
      <c r="I12" s="9"/>
    </row>
    <row r="13" spans="1:9" x14ac:dyDescent="0.35">
      <c r="A13" s="52" t="s">
        <v>7</v>
      </c>
      <c r="B13" s="52"/>
      <c r="C13" s="7"/>
      <c r="D13" s="8"/>
      <c r="F13" s="9"/>
      <c r="G13" s="9"/>
      <c r="H13" s="9"/>
      <c r="I13" s="9"/>
    </row>
    <row r="14" spans="1:9" x14ac:dyDescent="0.35">
      <c r="A14" s="52"/>
      <c r="B14" s="52"/>
      <c r="C14" s="7"/>
      <c r="D14" s="8"/>
      <c r="F14" s="9"/>
      <c r="G14" s="9"/>
      <c r="H14" s="9"/>
      <c r="I14" s="9"/>
    </row>
    <row r="15" spans="1:9" x14ac:dyDescent="0.35">
      <c r="A15" s="53" t="s">
        <v>12</v>
      </c>
      <c r="B15" s="54"/>
      <c r="C15" s="54"/>
      <c r="D15" s="54"/>
      <c r="E15" s="54"/>
      <c r="F15" s="55"/>
      <c r="G15" s="9"/>
      <c r="H15" s="9"/>
      <c r="I15" s="9"/>
    </row>
    <row r="16" spans="1:9" x14ac:dyDescent="0.35">
      <c r="A16" s="56"/>
      <c r="B16" s="57"/>
      <c r="C16" s="57"/>
      <c r="D16" s="57"/>
      <c r="E16" s="57"/>
      <c r="F16" s="58"/>
      <c r="G16" s="9"/>
      <c r="H16" s="9"/>
      <c r="I16" s="9"/>
    </row>
    <row r="17" spans="1:14" x14ac:dyDescent="0.35">
      <c r="A17" s="56"/>
      <c r="B17" s="57"/>
      <c r="C17" s="57"/>
      <c r="D17" s="57"/>
      <c r="E17" s="57"/>
      <c r="F17" s="58"/>
      <c r="G17" s="9"/>
      <c r="H17" s="9"/>
      <c r="I17" s="9"/>
    </row>
    <row r="18" spans="1:14" x14ac:dyDescent="0.35">
      <c r="A18" s="59"/>
      <c r="B18" s="60"/>
      <c r="C18" s="60"/>
      <c r="D18" s="60"/>
      <c r="E18" s="60"/>
      <c r="F18" s="61"/>
      <c r="G18" s="9"/>
      <c r="H18" s="9"/>
      <c r="I18" s="9"/>
    </row>
    <row r="19" spans="1:14" x14ac:dyDescent="0.35">
      <c r="C19" s="7"/>
      <c r="D19" s="8"/>
      <c r="F19" s="9"/>
      <c r="G19" s="9"/>
      <c r="H19" s="9"/>
      <c r="I19" s="9"/>
      <c r="K19" s="6"/>
      <c r="L19" s="7"/>
      <c r="M19" s="7"/>
      <c r="N19" s="8"/>
    </row>
    <row r="20" spans="1:14" x14ac:dyDescent="0.35">
      <c r="C20" s="7"/>
      <c r="D20" s="8"/>
      <c r="F20" s="9"/>
      <c r="G20" s="9"/>
      <c r="H20" s="9"/>
      <c r="I20" s="9"/>
      <c r="K20" s="6"/>
      <c r="L20" s="7"/>
      <c r="M20" s="7"/>
      <c r="N20" s="8"/>
    </row>
    <row r="21" spans="1:14" x14ac:dyDescent="0.35">
      <c r="A21" s="7" t="s">
        <v>13</v>
      </c>
      <c r="B21" s="7" cm="1">
        <f t="array" ref="B21">circulo(1)</f>
        <v>3.1415926535897931</v>
      </c>
      <c r="C21" s="7"/>
      <c r="D21" s="8"/>
      <c r="F21" s="9"/>
      <c r="G21" s="9"/>
      <c r="H21" s="9"/>
      <c r="I21" s="9"/>
      <c r="K21" s="6"/>
      <c r="L21" s="7"/>
      <c r="M21" s="7"/>
      <c r="N21" s="8"/>
    </row>
    <row r="22" spans="1:14" x14ac:dyDescent="0.35">
      <c r="A22" s="6" t="s">
        <v>14</v>
      </c>
      <c r="B22" s="7" cm="1">
        <f t="array" ref="B22">circunferencia(1)</f>
        <v>6.2831852000000001</v>
      </c>
      <c r="C22" s="7"/>
      <c r="D22" s="8"/>
      <c r="F22" s="9"/>
      <c r="G22" s="9"/>
      <c r="H22" s="9"/>
      <c r="I22" s="9"/>
      <c r="K22" s="6"/>
      <c r="L22" s="7"/>
      <c r="M22" s="7"/>
      <c r="N22" s="8"/>
    </row>
    <row r="23" spans="1:14" x14ac:dyDescent="0.35">
      <c r="A23" s="6"/>
      <c r="B23" s="7"/>
      <c r="C23" s="7"/>
      <c r="D23" s="8"/>
      <c r="F23" s="9"/>
      <c r="G23" s="9"/>
      <c r="H23" s="9"/>
      <c r="I23" s="9"/>
      <c r="K23" s="6"/>
      <c r="L23" s="7"/>
      <c r="M23" s="7"/>
      <c r="N23" s="8"/>
    </row>
    <row r="24" spans="1:14" x14ac:dyDescent="0.35">
      <c r="A24" s="6"/>
      <c r="B24" s="7"/>
      <c r="C24" s="7"/>
      <c r="D24" s="8"/>
      <c r="F24" s="9"/>
      <c r="G24" s="9"/>
      <c r="H24" s="9"/>
      <c r="I24" s="9"/>
      <c r="K24" s="6"/>
      <c r="L24" s="7"/>
      <c r="M24" s="7"/>
      <c r="N24" s="8"/>
    </row>
    <row r="25" spans="1:14" x14ac:dyDescent="0.35">
      <c r="A25" s="6"/>
      <c r="B25" s="7"/>
      <c r="C25" s="7"/>
      <c r="D25" s="8"/>
      <c r="F25" s="9"/>
      <c r="G25" s="9"/>
      <c r="H25" s="9"/>
      <c r="I25" s="9"/>
      <c r="K25" s="6"/>
      <c r="L25" s="7"/>
      <c r="M25" s="7"/>
      <c r="N25" s="8"/>
    </row>
    <row r="26" spans="1:14" x14ac:dyDescent="0.35">
      <c r="A26" s="6"/>
      <c r="B26" s="7"/>
      <c r="C26" s="7"/>
      <c r="D26" s="8"/>
      <c r="F26" s="9"/>
      <c r="G26" s="9"/>
      <c r="H26" s="9"/>
      <c r="I26" s="9"/>
      <c r="K26" s="6"/>
      <c r="L26" s="7"/>
      <c r="M26" s="7"/>
      <c r="N26" s="8"/>
    </row>
    <row r="27" spans="1:14" x14ac:dyDescent="0.35">
      <c r="A27" s="6"/>
      <c r="B27" s="7"/>
      <c r="C27" s="7"/>
      <c r="D27" s="8"/>
      <c r="F27" s="9"/>
      <c r="G27" s="9"/>
      <c r="H27" s="9"/>
      <c r="I27" s="9"/>
      <c r="K27" s="6"/>
      <c r="L27" s="7"/>
      <c r="M27" s="7"/>
      <c r="N27" s="8"/>
    </row>
    <row r="28" spans="1:14" x14ac:dyDescent="0.35">
      <c r="A28" s="6"/>
      <c r="B28" s="7"/>
      <c r="C28" s="7"/>
      <c r="D28" s="8"/>
      <c r="F28" s="9"/>
      <c r="G28" s="9"/>
      <c r="H28" s="9"/>
      <c r="I28" s="9"/>
      <c r="K28" s="6"/>
      <c r="L28" s="7"/>
      <c r="M28" s="7"/>
      <c r="N28" s="8"/>
    </row>
    <row r="30" spans="1:14" x14ac:dyDescent="0.35">
      <c r="A30" s="65" t="s">
        <v>8</v>
      </c>
      <c r="B30" s="65"/>
    </row>
    <row r="31" spans="1:14" ht="14.5" customHeight="1" x14ac:dyDescent="0.35">
      <c r="A31" s="36" t="s">
        <v>15</v>
      </c>
      <c r="B31" s="37"/>
      <c r="C31" s="37"/>
      <c r="D31" s="37"/>
      <c r="E31" s="37"/>
      <c r="F31" s="38"/>
    </row>
    <row r="32" spans="1:14" x14ac:dyDescent="0.35">
      <c r="A32" s="62"/>
      <c r="B32" s="63"/>
      <c r="C32" s="63"/>
      <c r="D32" s="63"/>
      <c r="E32" s="63"/>
      <c r="F32" s="64"/>
    </row>
    <row r="33" spans="1:6" x14ac:dyDescent="0.35">
      <c r="A33" s="39"/>
      <c r="B33" s="40"/>
      <c r="C33" s="40"/>
      <c r="D33" s="40"/>
      <c r="E33" s="40"/>
      <c r="F33" s="41"/>
    </row>
    <row r="35" spans="1:6" ht="15.5" customHeight="1" x14ac:dyDescent="0.35"/>
    <row r="37" spans="1:6" x14ac:dyDescent="0.35">
      <c r="A37" s="35" t="s">
        <v>9</v>
      </c>
      <c r="B37" s="35"/>
    </row>
    <row r="38" spans="1:6" x14ac:dyDescent="0.35">
      <c r="A38" s="29" t="s">
        <v>16</v>
      </c>
      <c r="B38" s="30"/>
      <c r="C38" s="30"/>
      <c r="D38" s="30"/>
      <c r="E38" s="30"/>
      <c r="F38" s="31"/>
    </row>
    <row r="39" spans="1:6" x14ac:dyDescent="0.35">
      <c r="A39" s="32"/>
      <c r="B39" s="33"/>
      <c r="C39" s="33"/>
      <c r="D39" s="33"/>
      <c r="E39" s="33"/>
      <c r="F39" s="34"/>
    </row>
    <row r="43" spans="1:6" x14ac:dyDescent="0.35">
      <c r="A43" s="35" t="s">
        <v>10</v>
      </c>
      <c r="B43" s="35"/>
    </row>
    <row r="44" spans="1:6" x14ac:dyDescent="0.35">
      <c r="A44" s="36" t="s">
        <v>17</v>
      </c>
      <c r="B44" s="37"/>
      <c r="C44" s="37"/>
      <c r="D44" s="37"/>
      <c r="E44" s="37"/>
      <c r="F44" s="38"/>
    </row>
    <row r="45" spans="1:6" x14ac:dyDescent="0.35">
      <c r="A45" s="39"/>
      <c r="B45" s="40"/>
      <c r="C45" s="40"/>
      <c r="D45" s="40"/>
      <c r="E45" s="40"/>
      <c r="F45" s="41"/>
    </row>
    <row r="46" spans="1:6" x14ac:dyDescent="0.35">
      <c r="A46" s="10"/>
    </row>
    <row r="47" spans="1:6" x14ac:dyDescent="0.35">
      <c r="A47" s="10"/>
    </row>
  </sheetData>
  <dataConsolidate topLabels="1">
    <dataRefs count="2">
      <dataRef ref="A60:C63" sheet="VBA Introduction"/>
      <dataRef ref="E60:G63" sheet="VBA Introduction"/>
    </dataRefs>
  </dataConsolidate>
  <mergeCells count="10">
    <mergeCell ref="A38:F39"/>
    <mergeCell ref="A43:B43"/>
    <mergeCell ref="A44:F45"/>
    <mergeCell ref="A3:F8"/>
    <mergeCell ref="A2:B2"/>
    <mergeCell ref="A13:B14"/>
    <mergeCell ref="A15:F18"/>
    <mergeCell ref="A37:B37"/>
    <mergeCell ref="A31:F33"/>
    <mergeCell ref="A30:B30"/>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8C19B-15A5-46B9-89B3-854798C96A9C}">
  <sheetPr codeName="Hoja3">
    <tabColor rgb="FFA5C9CA"/>
  </sheetPr>
  <dimension ref="A2:F152"/>
  <sheetViews>
    <sheetView topLeftCell="A126" workbookViewId="0">
      <selection activeCell="F158" sqref="F158"/>
    </sheetView>
  </sheetViews>
  <sheetFormatPr baseColWidth="10" defaultRowHeight="14.5" x14ac:dyDescent="0.35"/>
  <cols>
    <col min="1" max="1" width="19.36328125" bestFit="1" customWidth="1"/>
    <col min="2" max="2" width="21.26953125" bestFit="1" customWidth="1"/>
    <col min="3" max="3" width="22.08984375" customWidth="1"/>
    <col min="4" max="4" width="20.54296875" bestFit="1" customWidth="1"/>
    <col min="5" max="5" width="9.453125" bestFit="1" customWidth="1"/>
    <col min="6" max="6" width="7.81640625" bestFit="1" customWidth="1"/>
    <col min="7" max="7" width="10" bestFit="1" customWidth="1"/>
    <col min="8" max="8" width="6.81640625" bestFit="1" customWidth="1"/>
    <col min="9" max="9" width="7.81640625" bestFit="1" customWidth="1"/>
    <col min="10" max="10" width="7.26953125" bestFit="1" customWidth="1"/>
    <col min="11" max="11" width="13.1796875" bestFit="1" customWidth="1"/>
    <col min="12" max="12" width="11.7265625" bestFit="1" customWidth="1"/>
    <col min="13" max="13" width="11.26953125" bestFit="1" customWidth="1"/>
    <col min="14" max="14" width="5.36328125" bestFit="1" customWidth="1"/>
    <col min="15" max="15" width="14.1796875" bestFit="1" customWidth="1"/>
    <col min="16" max="16" width="9.54296875" bestFit="1" customWidth="1"/>
    <col min="17" max="17" width="5.36328125" bestFit="1" customWidth="1"/>
    <col min="18" max="18" width="4.36328125" bestFit="1" customWidth="1"/>
    <col min="19" max="19" width="5.36328125" bestFit="1" customWidth="1"/>
    <col min="20" max="20" width="12.453125" bestFit="1" customWidth="1"/>
    <col min="21" max="21" width="11.81640625" bestFit="1" customWidth="1"/>
    <col min="22" max="24" width="5.36328125" bestFit="1" customWidth="1"/>
    <col min="25" max="25" width="14.7265625" bestFit="1" customWidth="1"/>
    <col min="26" max="26" width="7.6328125" bestFit="1" customWidth="1"/>
    <col min="27" max="27" width="5.36328125" bestFit="1" customWidth="1"/>
    <col min="28" max="28" width="10.54296875" bestFit="1" customWidth="1"/>
    <col min="29" max="29" width="7.90625" bestFit="1" customWidth="1"/>
    <col min="30" max="31" width="5.36328125" bestFit="1" customWidth="1"/>
    <col min="32" max="32" width="10.81640625" bestFit="1" customWidth="1"/>
    <col min="33" max="33" width="9.08984375" bestFit="1" customWidth="1"/>
    <col min="34" max="34" width="5.36328125" bestFit="1" customWidth="1"/>
    <col min="35" max="35" width="12" bestFit="1" customWidth="1"/>
    <col min="36" max="36" width="15" bestFit="1" customWidth="1"/>
    <col min="37" max="40" width="5.36328125" bestFit="1" customWidth="1"/>
    <col min="41" max="41" width="18" bestFit="1" customWidth="1"/>
    <col min="42" max="42" width="11.7265625" bestFit="1" customWidth="1"/>
  </cols>
  <sheetData>
    <row r="2" spans="1:6" x14ac:dyDescent="0.35">
      <c r="A2" s="51" t="s">
        <v>18</v>
      </c>
      <c r="B2" s="51"/>
      <c r="D2" s="5"/>
    </row>
    <row r="3" spans="1:6" ht="14.5" customHeight="1" x14ac:dyDescent="0.35">
      <c r="A3" s="36" t="s">
        <v>41</v>
      </c>
      <c r="B3" s="37"/>
      <c r="C3" s="37"/>
      <c r="D3" s="37"/>
      <c r="E3" s="37"/>
      <c r="F3" s="38"/>
    </row>
    <row r="4" spans="1:6" x14ac:dyDescent="0.35">
      <c r="A4" s="39"/>
      <c r="B4" s="40"/>
      <c r="C4" s="40"/>
      <c r="D4" s="40"/>
      <c r="E4" s="40"/>
      <c r="F4" s="41"/>
    </row>
    <row r="5" spans="1:6" x14ac:dyDescent="0.35">
      <c r="A5" s="11"/>
      <c r="B5" s="11"/>
      <c r="C5" s="11"/>
      <c r="D5" s="11"/>
      <c r="E5" s="11"/>
      <c r="F5" s="11"/>
    </row>
    <row r="6" spans="1:6" x14ac:dyDescent="0.35">
      <c r="A6" s="11" t="s">
        <v>40</v>
      </c>
      <c r="B6" s="11"/>
      <c r="C6" s="11"/>
      <c r="D6" s="11"/>
      <c r="E6" s="11"/>
      <c r="F6" s="11"/>
    </row>
    <row r="7" spans="1:6" x14ac:dyDescent="0.35">
      <c r="A7" s="11">
        <v>6</v>
      </c>
      <c r="B7" s="11" t="str" cm="1">
        <f t="array" ref="B7">calificacion1(A7)</f>
        <v>Aprobado</v>
      </c>
      <c r="C7" s="13" t="s">
        <v>43</v>
      </c>
      <c r="D7" s="11"/>
      <c r="E7" s="11"/>
      <c r="F7" s="11"/>
    </row>
    <row r="8" spans="1:6" x14ac:dyDescent="0.35">
      <c r="A8" s="11">
        <v>10</v>
      </c>
      <c r="B8" s="11" t="str" cm="1">
        <f t="array" ref="B8">calificacion1(A8)</f>
        <v>Aprobado</v>
      </c>
      <c r="C8" s="13" t="s">
        <v>44</v>
      </c>
      <c r="D8" s="11"/>
      <c r="E8" s="11"/>
      <c r="F8" s="11"/>
    </row>
    <row r="9" spans="1:6" x14ac:dyDescent="0.35">
      <c r="A9" s="11">
        <v>3</v>
      </c>
      <c r="B9" s="11" t="str" cm="1">
        <f t="array" ref="B9">calificacion1(A9)</f>
        <v>Suspenso</v>
      </c>
      <c r="C9" s="13" t="s">
        <v>45</v>
      </c>
      <c r="D9" s="11"/>
      <c r="E9" s="11"/>
      <c r="F9" s="11"/>
    </row>
    <row r="10" spans="1:6" x14ac:dyDescent="0.35">
      <c r="A10" s="11"/>
      <c r="B10" s="11"/>
      <c r="C10" s="11"/>
      <c r="D10" s="11"/>
      <c r="E10" s="11"/>
      <c r="F10" s="11"/>
    </row>
    <row r="11" spans="1:6" x14ac:dyDescent="0.35">
      <c r="A11" s="11"/>
      <c r="B11" s="11"/>
      <c r="C11" s="11"/>
      <c r="D11" s="11"/>
      <c r="E11" s="11"/>
      <c r="F11" s="11"/>
    </row>
    <row r="13" spans="1:6" x14ac:dyDescent="0.35">
      <c r="A13" s="51" t="s">
        <v>19</v>
      </c>
      <c r="B13" s="51"/>
      <c r="D13" s="5"/>
    </row>
    <row r="14" spans="1:6" ht="14.5" customHeight="1" x14ac:dyDescent="0.35">
      <c r="A14" s="36" t="s">
        <v>42</v>
      </c>
      <c r="B14" s="37"/>
      <c r="C14" s="37"/>
      <c r="D14" s="37"/>
      <c r="E14" s="37"/>
      <c r="F14" s="38"/>
    </row>
    <row r="15" spans="1:6" x14ac:dyDescent="0.35">
      <c r="A15" s="39"/>
      <c r="B15" s="40"/>
      <c r="C15" s="40"/>
      <c r="D15" s="40"/>
      <c r="E15" s="40"/>
      <c r="F15" s="41"/>
    </row>
    <row r="16" spans="1:6" x14ac:dyDescent="0.35">
      <c r="A16" s="11"/>
      <c r="B16" s="11"/>
      <c r="C16" s="11"/>
      <c r="D16" s="11"/>
      <c r="E16" s="11"/>
      <c r="F16" s="11"/>
    </row>
    <row r="17" spans="1:6" x14ac:dyDescent="0.35">
      <c r="A17" s="11" t="s">
        <v>40</v>
      </c>
      <c r="B17" s="11"/>
      <c r="C17" s="11"/>
      <c r="D17" s="11"/>
      <c r="E17" s="11"/>
      <c r="F17" s="11"/>
    </row>
    <row r="18" spans="1:6" x14ac:dyDescent="0.35">
      <c r="A18" s="11">
        <v>5</v>
      </c>
      <c r="B18" s="11" t="str" cm="1">
        <f t="array" ref="B18">calificacion2(A18)</f>
        <v>Suficiente</v>
      </c>
      <c r="C18" s="13" t="s">
        <v>46</v>
      </c>
      <c r="D18" s="11"/>
      <c r="E18" s="11"/>
      <c r="F18" s="11"/>
    </row>
    <row r="19" spans="1:6" x14ac:dyDescent="0.35">
      <c r="A19" s="11">
        <v>8</v>
      </c>
      <c r="B19" s="11" t="str" cm="1">
        <f t="array" ref="B19">calificacion2(A19)</f>
        <v>Notable</v>
      </c>
      <c r="C19" s="13" t="s">
        <v>47</v>
      </c>
      <c r="D19" s="11"/>
      <c r="E19" s="11"/>
      <c r="F19" s="11"/>
    </row>
    <row r="20" spans="1:6" x14ac:dyDescent="0.35">
      <c r="A20" s="11">
        <v>6</v>
      </c>
      <c r="B20" s="11" t="str" cm="1">
        <f t="array" ref="B20">calificacion2(A20)</f>
        <v>Bien</v>
      </c>
      <c r="C20" s="13" t="s">
        <v>48</v>
      </c>
      <c r="D20" s="11"/>
      <c r="E20" s="11"/>
      <c r="F20" s="11"/>
    </row>
    <row r="21" spans="1:6" x14ac:dyDescent="0.35">
      <c r="A21" s="11">
        <v>9</v>
      </c>
      <c r="B21" s="11" t="str" cm="1">
        <f t="array" ref="B21">calificacion2(A21)</f>
        <v>Sobresaliente</v>
      </c>
      <c r="C21" s="13" t="s">
        <v>49</v>
      </c>
      <c r="D21" s="11"/>
      <c r="E21" s="11"/>
      <c r="F21" s="11"/>
    </row>
    <row r="22" spans="1:6" x14ac:dyDescent="0.35">
      <c r="A22" s="11">
        <v>3</v>
      </c>
      <c r="B22" s="11" t="str" cm="1">
        <f t="array" ref="B22">calificacion2(A22)</f>
        <v>Muy deficiente</v>
      </c>
      <c r="C22" s="13" t="s">
        <v>50</v>
      </c>
      <c r="D22" s="11"/>
      <c r="E22" s="11"/>
      <c r="F22" s="11"/>
    </row>
    <row r="23" spans="1:6" x14ac:dyDescent="0.35">
      <c r="A23" s="11">
        <v>4</v>
      </c>
      <c r="B23" s="11" t="str" cm="1">
        <f t="array" ref="B23">calificacion2(A23)</f>
        <v>Suspenso</v>
      </c>
      <c r="C23" s="13" t="s">
        <v>51</v>
      </c>
      <c r="D23" s="11"/>
      <c r="E23" s="11"/>
      <c r="F23" s="11"/>
    </row>
    <row r="24" spans="1:6" x14ac:dyDescent="0.35">
      <c r="A24" s="11"/>
      <c r="B24" s="11"/>
      <c r="C24" s="11"/>
      <c r="D24" s="11"/>
      <c r="E24" s="11"/>
      <c r="F24" s="11"/>
    </row>
    <row r="25" spans="1:6" x14ac:dyDescent="0.35">
      <c r="A25" s="11"/>
      <c r="B25" s="11"/>
      <c r="C25" s="11"/>
      <c r="D25" s="11"/>
      <c r="E25" s="11"/>
      <c r="F25" s="11"/>
    </row>
    <row r="26" spans="1:6" x14ac:dyDescent="0.35">
      <c r="A26" s="51" t="s">
        <v>20</v>
      </c>
      <c r="B26" s="51"/>
      <c r="D26" s="5"/>
    </row>
    <row r="27" spans="1:6" x14ac:dyDescent="0.35">
      <c r="A27" s="36" t="s">
        <v>52</v>
      </c>
      <c r="B27" s="37"/>
      <c r="C27" s="37"/>
      <c r="D27" s="37"/>
      <c r="E27" s="37"/>
      <c r="F27" s="38"/>
    </row>
    <row r="28" spans="1:6" x14ac:dyDescent="0.35">
      <c r="A28" s="39"/>
      <c r="B28" s="40"/>
      <c r="C28" s="40"/>
      <c r="D28" s="40"/>
      <c r="E28" s="40"/>
      <c r="F28" s="41"/>
    </row>
    <row r="30" spans="1:6" x14ac:dyDescent="0.35">
      <c r="A30" s="11" t="s">
        <v>40</v>
      </c>
    </row>
    <row r="31" spans="1:6" x14ac:dyDescent="0.35">
      <c r="A31" s="11">
        <v>5</v>
      </c>
      <c r="B31" t="str" cm="1">
        <f t="array" ref="B31">calificacion3(A31)</f>
        <v>Suficiente</v>
      </c>
      <c r="C31" s="14" t="s">
        <v>53</v>
      </c>
    </row>
    <row r="32" spans="1:6" x14ac:dyDescent="0.35">
      <c r="A32" s="11">
        <v>8</v>
      </c>
      <c r="B32" t="str" cm="1">
        <f t="array" ref="B32">calificacion3(A32)</f>
        <v>Notable</v>
      </c>
      <c r="C32" s="14" t="s">
        <v>54</v>
      </c>
    </row>
    <row r="33" spans="1:6" x14ac:dyDescent="0.35">
      <c r="A33" s="11">
        <v>6</v>
      </c>
      <c r="B33" t="str" cm="1">
        <f t="array" ref="B33">calificacion3(A33)</f>
        <v>Bien</v>
      </c>
      <c r="C33" s="14" t="s">
        <v>55</v>
      </c>
    </row>
    <row r="34" spans="1:6" x14ac:dyDescent="0.35">
      <c r="A34" s="11">
        <v>9</v>
      </c>
      <c r="B34" t="str" cm="1">
        <f t="array" ref="B34">calificacion3(A34)</f>
        <v>Sobresaliente</v>
      </c>
      <c r="C34" s="14" t="s">
        <v>56</v>
      </c>
    </row>
    <row r="35" spans="1:6" x14ac:dyDescent="0.35">
      <c r="A35" s="11">
        <v>3</v>
      </c>
      <c r="B35" t="str" cm="1">
        <f t="array" ref="B35">calificacion3(A35)</f>
        <v>Muy deficiente</v>
      </c>
      <c r="C35" s="14" t="s">
        <v>57</v>
      </c>
    </row>
    <row r="36" spans="1:6" x14ac:dyDescent="0.35">
      <c r="A36" s="11">
        <v>4</v>
      </c>
      <c r="B36" t="str" cm="1">
        <f t="array" ref="B36">calificacion3(A36)</f>
        <v>Suspenso</v>
      </c>
      <c r="C36" s="14" t="s">
        <v>58</v>
      </c>
    </row>
    <row r="40" spans="1:6" x14ac:dyDescent="0.35">
      <c r="A40" s="51" t="s">
        <v>21</v>
      </c>
      <c r="B40" s="51"/>
      <c r="D40" s="5"/>
    </row>
    <row r="41" spans="1:6" x14ac:dyDescent="0.35">
      <c r="A41" s="36" t="s">
        <v>59</v>
      </c>
      <c r="B41" s="37"/>
      <c r="C41" s="37"/>
      <c r="D41" s="37"/>
      <c r="E41" s="37"/>
      <c r="F41" s="38"/>
    </row>
    <row r="42" spans="1:6" x14ac:dyDescent="0.35">
      <c r="A42" s="39"/>
      <c r="B42" s="40"/>
      <c r="C42" s="40"/>
      <c r="D42" s="40"/>
      <c r="E42" s="40"/>
      <c r="F42" s="41"/>
    </row>
    <row r="44" spans="1:6" x14ac:dyDescent="0.35">
      <c r="A44" t="s">
        <v>40</v>
      </c>
      <c r="B44" t="s">
        <v>60</v>
      </c>
    </row>
    <row r="45" spans="1:6" x14ac:dyDescent="0.35">
      <c r="A45">
        <v>5</v>
      </c>
      <c r="B45">
        <v>3</v>
      </c>
      <c r="C45" t="str" cm="1">
        <f t="array" ref="C45">calificacion4(A45,B45)</f>
        <v>Suspenso</v>
      </c>
      <c r="D45" s="14" t="s">
        <v>61</v>
      </c>
    </row>
    <row r="46" spans="1:6" x14ac:dyDescent="0.35">
      <c r="A46">
        <v>8</v>
      </c>
      <c r="B46">
        <v>2</v>
      </c>
      <c r="C46" t="str" cm="1">
        <f t="array" ref="C46">calificacion4(A46,B46)</f>
        <v>Aprobado</v>
      </c>
      <c r="D46" s="14" t="s">
        <v>62</v>
      </c>
    </row>
    <row r="47" spans="1:6" x14ac:dyDescent="0.35">
      <c r="A47">
        <v>6</v>
      </c>
      <c r="B47">
        <v>5</v>
      </c>
      <c r="C47" t="str" cm="1">
        <f t="array" ref="C47">calificacion4(A47,B47)</f>
        <v>Suspenso</v>
      </c>
      <c r="D47" s="14" t="s">
        <v>64</v>
      </c>
    </row>
    <row r="48" spans="1:6" x14ac:dyDescent="0.35">
      <c r="A48">
        <v>9</v>
      </c>
      <c r="B48">
        <v>1</v>
      </c>
      <c r="C48" t="str" cm="1">
        <f t="array" ref="C48">calificacion4(A48,B48)</f>
        <v>Aprobado</v>
      </c>
      <c r="D48" s="14" t="s">
        <v>65</v>
      </c>
    </row>
    <row r="49" spans="1:4" x14ac:dyDescent="0.35">
      <c r="A49">
        <v>3</v>
      </c>
      <c r="B49">
        <v>4</v>
      </c>
      <c r="C49" t="str" cm="1">
        <f t="array" ref="C49">calificacion4(A49,B49)</f>
        <v>Suspenso</v>
      </c>
      <c r="D49" s="14" t="s">
        <v>63</v>
      </c>
    </row>
    <row r="50" spans="1:4" x14ac:dyDescent="0.35">
      <c r="A50">
        <v>4</v>
      </c>
      <c r="B50">
        <v>0</v>
      </c>
      <c r="C50" t="str" cm="1">
        <f t="array" ref="C50">calificacion4(A50,B50)</f>
        <v>Suspenso</v>
      </c>
      <c r="D50" s="14" t="s">
        <v>66</v>
      </c>
    </row>
    <row r="51" spans="1:4" s="15" customFormat="1" ht="15" thickBot="1" x14ac:dyDescent="0.4"/>
    <row r="53" spans="1:4" x14ac:dyDescent="0.35">
      <c r="A53" t="s">
        <v>40</v>
      </c>
      <c r="B53" t="s">
        <v>60</v>
      </c>
    </row>
    <row r="54" spans="1:4" x14ac:dyDescent="0.35">
      <c r="A54">
        <v>5</v>
      </c>
      <c r="B54">
        <v>3</v>
      </c>
      <c r="C54" t="str" cm="1">
        <f t="array" ref="C54">calificacion5(A54,B54)</f>
        <v>Suspenso</v>
      </c>
      <c r="D54" s="14" t="s">
        <v>67</v>
      </c>
    </row>
    <row r="55" spans="1:4" x14ac:dyDescent="0.35">
      <c r="A55">
        <v>8</v>
      </c>
      <c r="B55">
        <v>2</v>
      </c>
      <c r="C55" t="str" cm="1">
        <f t="array" ref="C55">calificacion5(A55,B55)</f>
        <v>Aprobado</v>
      </c>
      <c r="D55" s="14" t="s">
        <v>68</v>
      </c>
    </row>
    <row r="56" spans="1:4" x14ac:dyDescent="0.35">
      <c r="A56">
        <v>6</v>
      </c>
      <c r="B56">
        <v>5</v>
      </c>
      <c r="C56" t="str" cm="1">
        <f t="array" ref="C56">calificacion5(A56,B56)</f>
        <v>Suspenso</v>
      </c>
      <c r="D56" s="14" t="s">
        <v>69</v>
      </c>
    </row>
    <row r="57" spans="1:4" x14ac:dyDescent="0.35">
      <c r="A57">
        <v>9</v>
      </c>
      <c r="B57">
        <v>1</v>
      </c>
      <c r="C57" t="str" cm="1">
        <f t="array" ref="C57">calificacion5(A57,B57)</f>
        <v>Aprobado</v>
      </c>
      <c r="D57" s="14" t="s">
        <v>70</v>
      </c>
    </row>
    <row r="58" spans="1:4" x14ac:dyDescent="0.35">
      <c r="A58">
        <v>3</v>
      </c>
      <c r="B58">
        <v>4</v>
      </c>
      <c r="C58" t="str" cm="1">
        <f t="array" ref="C58">calificacion5(A58,B58)</f>
        <v>Suspenso</v>
      </c>
      <c r="D58" s="14" t="s">
        <v>71</v>
      </c>
    </row>
    <row r="59" spans="1:4" x14ac:dyDescent="0.35">
      <c r="A59">
        <v>4</v>
      </c>
      <c r="B59">
        <v>0</v>
      </c>
      <c r="C59" t="str" cm="1">
        <f t="array" ref="C59">calificacion5(A59,B59)</f>
        <v>Suspenso</v>
      </c>
      <c r="D59" s="14" t="s">
        <v>72</v>
      </c>
    </row>
    <row r="65" spans="1:6" x14ac:dyDescent="0.35">
      <c r="A65" s="51" t="s">
        <v>22</v>
      </c>
      <c r="B65" s="51"/>
      <c r="D65" s="5"/>
    </row>
    <row r="66" spans="1:6" x14ac:dyDescent="0.35">
      <c r="A66" s="36" t="s">
        <v>73</v>
      </c>
      <c r="B66" s="37"/>
      <c r="C66" s="37"/>
      <c r="D66" s="37"/>
      <c r="E66" s="37"/>
      <c r="F66" s="38"/>
    </row>
    <row r="67" spans="1:6" x14ac:dyDescent="0.35">
      <c r="A67" s="39"/>
      <c r="B67" s="40"/>
      <c r="C67" s="40"/>
      <c r="D67" s="40"/>
      <c r="E67" s="40"/>
      <c r="F67" s="41"/>
    </row>
    <row r="69" spans="1:6" x14ac:dyDescent="0.35">
      <c r="A69" t="s">
        <v>40</v>
      </c>
      <c r="B69" t="s">
        <v>60</v>
      </c>
    </row>
    <row r="70" spans="1:6" x14ac:dyDescent="0.35">
      <c r="A70">
        <v>5</v>
      </c>
      <c r="B70">
        <v>3</v>
      </c>
      <c r="C70" t="str" cm="1">
        <f t="array" ref="C70">calificacion6(A70,B70)</f>
        <v>Suspenso</v>
      </c>
      <c r="D70" s="14" t="s">
        <v>74</v>
      </c>
    </row>
    <row r="71" spans="1:6" x14ac:dyDescent="0.35">
      <c r="A71">
        <v>8</v>
      </c>
      <c r="B71">
        <v>2</v>
      </c>
      <c r="C71" t="str" cm="1">
        <f t="array" ref="C71">calificacion6(A71,B71)</f>
        <v>Suspenso</v>
      </c>
      <c r="D71" s="14" t="s">
        <v>75</v>
      </c>
    </row>
    <row r="72" spans="1:6" x14ac:dyDescent="0.35">
      <c r="A72">
        <v>6</v>
      </c>
      <c r="B72">
        <v>5</v>
      </c>
      <c r="C72" t="str" cm="1">
        <f t="array" ref="C72">calificacion6(A72,B72)</f>
        <v>Suspenso</v>
      </c>
      <c r="D72" s="14" t="s">
        <v>76</v>
      </c>
    </row>
    <row r="73" spans="1:6" x14ac:dyDescent="0.35">
      <c r="A73">
        <v>9</v>
      </c>
      <c r="B73">
        <v>1</v>
      </c>
      <c r="C73" t="str" cm="1">
        <f t="array" ref="C73">calificacion6(A73,B73)</f>
        <v>Suspenso</v>
      </c>
      <c r="D73" s="14" t="s">
        <v>77</v>
      </c>
    </row>
    <row r="74" spans="1:6" x14ac:dyDescent="0.35">
      <c r="A74">
        <v>3</v>
      </c>
      <c r="B74">
        <v>4</v>
      </c>
      <c r="C74" t="str" cm="1">
        <f t="array" ref="C74">calificacion6(A74,B74)</f>
        <v>Suspenso</v>
      </c>
      <c r="D74" s="14" t="s">
        <v>79</v>
      </c>
    </row>
    <row r="75" spans="1:6" x14ac:dyDescent="0.35">
      <c r="A75">
        <v>4</v>
      </c>
      <c r="B75">
        <v>0</v>
      </c>
      <c r="C75" t="str" cm="1">
        <f t="array" ref="C75">calificacion6(A75,B75)</f>
        <v>Suspenso</v>
      </c>
      <c r="D75" s="14" t="s">
        <v>78</v>
      </c>
    </row>
    <row r="81" spans="1:6" x14ac:dyDescent="0.35">
      <c r="A81" s="51" t="s">
        <v>23</v>
      </c>
      <c r="B81" s="51"/>
      <c r="D81" s="5"/>
    </row>
    <row r="82" spans="1:6" x14ac:dyDescent="0.35">
      <c r="A82" s="36" t="s">
        <v>80</v>
      </c>
      <c r="B82" s="37"/>
      <c r="C82" s="37"/>
      <c r="D82" s="37"/>
      <c r="E82" s="37"/>
      <c r="F82" s="38"/>
    </row>
    <row r="83" spans="1:6" x14ac:dyDescent="0.35">
      <c r="A83" s="39"/>
      <c r="B83" s="40"/>
      <c r="C83" s="40"/>
      <c r="D83" s="40"/>
      <c r="E83" s="40"/>
      <c r="F83" s="41"/>
    </row>
    <row r="85" spans="1:6" x14ac:dyDescent="0.35">
      <c r="A85" t="s">
        <v>81</v>
      </c>
      <c r="B85" t="s">
        <v>82</v>
      </c>
      <c r="C85" cm="1">
        <f t="array" ref="C85">impuestos(A86)</f>
        <v>121</v>
      </c>
      <c r="D85" s="14" t="s">
        <v>84</v>
      </c>
    </row>
    <row r="86" spans="1:6" x14ac:dyDescent="0.35">
      <c r="A86">
        <v>100</v>
      </c>
      <c r="B86">
        <v>2</v>
      </c>
      <c r="C86" cm="1">
        <f t="array" ref="C86">impuestos(A86,B86)</f>
        <v>102</v>
      </c>
      <c r="D86" s="14" t="s">
        <v>83</v>
      </c>
    </row>
    <row r="90" spans="1:6" x14ac:dyDescent="0.35">
      <c r="A90" s="51" t="s">
        <v>24</v>
      </c>
      <c r="B90" s="51"/>
      <c r="D90" s="5"/>
    </row>
    <row r="91" spans="1:6" x14ac:dyDescent="0.35">
      <c r="A91" s="36" t="s">
        <v>85</v>
      </c>
      <c r="B91" s="37"/>
      <c r="C91" s="37"/>
      <c r="D91" s="37"/>
      <c r="E91" s="37"/>
      <c r="F91" s="38"/>
    </row>
    <row r="92" spans="1:6" x14ac:dyDescent="0.35">
      <c r="A92" s="39"/>
      <c r="B92" s="40"/>
      <c r="C92" s="40"/>
      <c r="D92" s="40"/>
      <c r="E92" s="40"/>
      <c r="F92" s="41"/>
    </row>
    <row r="96" spans="1:6" x14ac:dyDescent="0.35">
      <c r="A96" s="51" t="s">
        <v>25</v>
      </c>
      <c r="B96" s="51"/>
      <c r="D96" s="5"/>
    </row>
    <row r="97" spans="1:6" x14ac:dyDescent="0.35">
      <c r="A97" s="36" t="s">
        <v>86</v>
      </c>
      <c r="B97" s="37"/>
      <c r="C97" s="37"/>
      <c r="D97" s="37"/>
      <c r="E97" s="37"/>
      <c r="F97" s="38"/>
    </row>
    <row r="98" spans="1:6" x14ac:dyDescent="0.35">
      <c r="A98" s="39"/>
      <c r="B98" s="40"/>
      <c r="C98" s="40"/>
      <c r="D98" s="40"/>
      <c r="E98" s="40"/>
      <c r="F98" s="41"/>
    </row>
    <row r="100" spans="1:6" x14ac:dyDescent="0.35">
      <c r="A100" t="s">
        <v>87</v>
      </c>
    </row>
    <row r="107" spans="1:6" x14ac:dyDescent="0.35">
      <c r="A107" s="51" t="s">
        <v>26</v>
      </c>
      <c r="B107" s="51"/>
      <c r="D107" s="5"/>
    </row>
    <row r="108" spans="1:6" x14ac:dyDescent="0.35">
      <c r="A108" s="36" t="s">
        <v>88</v>
      </c>
      <c r="B108" s="37"/>
      <c r="C108" s="37"/>
      <c r="D108" s="37"/>
      <c r="E108" s="37"/>
      <c r="F108" s="38"/>
    </row>
    <row r="109" spans="1:6" x14ac:dyDescent="0.35">
      <c r="A109" s="39"/>
      <c r="B109" s="40"/>
      <c r="C109" s="40"/>
      <c r="D109" s="40"/>
      <c r="E109" s="40"/>
      <c r="F109" s="41"/>
    </row>
    <row r="110" spans="1:6" x14ac:dyDescent="0.35">
      <c r="D110" s="16">
        <v>5</v>
      </c>
    </row>
    <row r="111" spans="1:6" x14ac:dyDescent="0.35">
      <c r="D111" s="17">
        <v>6</v>
      </c>
    </row>
    <row r="112" spans="1:6" x14ac:dyDescent="0.35">
      <c r="D112" s="17">
        <v>8</v>
      </c>
    </row>
    <row r="113" spans="1:6" x14ac:dyDescent="0.35">
      <c r="D113" s="17">
        <v>4</v>
      </c>
    </row>
    <row r="117" spans="1:6" x14ac:dyDescent="0.35">
      <c r="A117" s="51" t="s">
        <v>27</v>
      </c>
      <c r="B117" s="51"/>
      <c r="D117" s="5"/>
    </row>
    <row r="118" spans="1:6" x14ac:dyDescent="0.35">
      <c r="A118" s="36" t="s">
        <v>89</v>
      </c>
      <c r="B118" s="37"/>
      <c r="C118" s="37"/>
      <c r="D118" s="37"/>
      <c r="E118" s="37"/>
      <c r="F118" s="38"/>
    </row>
    <row r="119" spans="1:6" x14ac:dyDescent="0.35">
      <c r="A119" s="39"/>
      <c r="B119" s="40"/>
      <c r="C119" s="40"/>
      <c r="D119" s="40"/>
      <c r="E119" s="40"/>
      <c r="F119" s="41"/>
    </row>
    <row r="132" spans="1:6" x14ac:dyDescent="0.35">
      <c r="A132" s="51" t="s">
        <v>28</v>
      </c>
      <c r="B132" s="51"/>
      <c r="D132" s="5"/>
    </row>
    <row r="133" spans="1:6" x14ac:dyDescent="0.35">
      <c r="A133" s="36" t="s">
        <v>90</v>
      </c>
      <c r="B133" s="37"/>
      <c r="C133" s="37"/>
      <c r="D133" s="37"/>
      <c r="E133" s="37"/>
      <c r="F133" s="38"/>
    </row>
    <row r="134" spans="1:6" x14ac:dyDescent="0.35">
      <c r="A134" s="39"/>
      <c r="B134" s="40"/>
      <c r="C134" s="40"/>
      <c r="D134" s="40"/>
      <c r="E134" s="40"/>
      <c r="F134" s="41"/>
    </row>
    <row r="138" spans="1:6" x14ac:dyDescent="0.35">
      <c r="A138" s="51" t="s">
        <v>29</v>
      </c>
      <c r="B138" s="51"/>
      <c r="D138" s="5"/>
    </row>
    <row r="139" spans="1:6" x14ac:dyDescent="0.35">
      <c r="A139" s="36" t="s">
        <v>92</v>
      </c>
      <c r="B139" s="37"/>
      <c r="C139" s="37"/>
      <c r="D139" s="37"/>
      <c r="E139" s="37"/>
      <c r="F139" s="38"/>
    </row>
    <row r="140" spans="1:6" x14ac:dyDescent="0.35">
      <c r="A140" s="39"/>
      <c r="B140" s="40"/>
      <c r="C140" s="40"/>
      <c r="D140" s="40"/>
      <c r="E140" s="40"/>
      <c r="F140" s="41"/>
    </row>
    <row r="142" spans="1:6" x14ac:dyDescent="0.35">
      <c r="A142">
        <v>6</v>
      </c>
      <c r="B142" cm="1">
        <f t="array" ref="B142">factorial1(A142)</f>
        <v>720</v>
      </c>
      <c r="C142" s="14" t="s">
        <v>91</v>
      </c>
    </row>
    <row r="150" spans="1:6" x14ac:dyDescent="0.35">
      <c r="A150" s="51" t="s">
        <v>93</v>
      </c>
      <c r="B150" s="51"/>
      <c r="D150" s="5"/>
    </row>
    <row r="151" spans="1:6" x14ac:dyDescent="0.35">
      <c r="A151" s="36" t="s">
        <v>94</v>
      </c>
      <c r="B151" s="37"/>
      <c r="C151" s="37"/>
      <c r="D151" s="37"/>
      <c r="E151" s="37"/>
      <c r="F151" s="38"/>
    </row>
    <row r="152" spans="1:6" x14ac:dyDescent="0.35">
      <c r="A152" s="39"/>
      <c r="B152" s="40"/>
      <c r="C152" s="40"/>
      <c r="D152" s="40"/>
      <c r="E152" s="40"/>
      <c r="F152" s="41"/>
    </row>
  </sheetData>
  <mergeCells count="26">
    <mergeCell ref="A96:B96"/>
    <mergeCell ref="A97:F98"/>
    <mergeCell ref="A133:F134"/>
    <mergeCell ref="A138:B138"/>
    <mergeCell ref="A139:F140"/>
    <mergeCell ref="A107:B107"/>
    <mergeCell ref="A108:F109"/>
    <mergeCell ref="A117:B117"/>
    <mergeCell ref="A118:F119"/>
    <mergeCell ref="A132:B132"/>
    <mergeCell ref="A150:B150"/>
    <mergeCell ref="A151:F152"/>
    <mergeCell ref="A27:F28"/>
    <mergeCell ref="A2:B2"/>
    <mergeCell ref="A13:B13"/>
    <mergeCell ref="A14:F15"/>
    <mergeCell ref="A26:B26"/>
    <mergeCell ref="A3:F4"/>
    <mergeCell ref="A40:B40"/>
    <mergeCell ref="A41:F42"/>
    <mergeCell ref="A65:B65"/>
    <mergeCell ref="A66:F67"/>
    <mergeCell ref="A81:B81"/>
    <mergeCell ref="A82:F83"/>
    <mergeCell ref="A90:B90"/>
    <mergeCell ref="A91:F92"/>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D2EF8-85C3-473B-87ED-DD6315EE38E5}">
  <sheetPr codeName="Hoja4">
    <tabColor rgb="FFA5C9CA"/>
  </sheetPr>
  <dimension ref="A2:F89"/>
  <sheetViews>
    <sheetView tabSelected="1" topLeftCell="A49" workbookViewId="0">
      <selection activeCell="G72" sqref="G72"/>
    </sheetView>
  </sheetViews>
  <sheetFormatPr baseColWidth="10" defaultRowHeight="14.5" x14ac:dyDescent="0.35"/>
  <cols>
    <col min="1" max="1" width="16.54296875" bestFit="1" customWidth="1"/>
    <col min="2" max="2" width="21.26953125" bestFit="1" customWidth="1"/>
    <col min="3" max="3" width="10.1796875" bestFit="1" customWidth="1"/>
    <col min="4" max="4" width="11.26953125" bestFit="1" customWidth="1"/>
    <col min="5" max="5" width="9.453125" bestFit="1" customWidth="1"/>
    <col min="6" max="6" width="7.81640625" bestFit="1" customWidth="1"/>
    <col min="7" max="7" width="10" bestFit="1" customWidth="1"/>
    <col min="8" max="8" width="6.81640625" bestFit="1" customWidth="1"/>
    <col min="9" max="9" width="7.81640625" bestFit="1" customWidth="1"/>
    <col min="10" max="10" width="7.26953125" bestFit="1" customWidth="1"/>
    <col min="11" max="11" width="13.1796875" bestFit="1" customWidth="1"/>
    <col min="12" max="12" width="11.7265625" bestFit="1" customWidth="1"/>
    <col min="13" max="13" width="11.26953125" bestFit="1" customWidth="1"/>
    <col min="14" max="14" width="5.36328125" bestFit="1" customWidth="1"/>
    <col min="15" max="15" width="14.1796875" bestFit="1" customWidth="1"/>
    <col min="16" max="16" width="9.54296875" bestFit="1" customWidth="1"/>
    <col min="17" max="17" width="5.36328125" bestFit="1" customWidth="1"/>
    <col min="18" max="18" width="4.36328125" bestFit="1" customWidth="1"/>
    <col min="19" max="19" width="5.36328125" bestFit="1" customWidth="1"/>
    <col min="20" max="20" width="12.453125" bestFit="1" customWidth="1"/>
    <col min="21" max="21" width="11.81640625" bestFit="1" customWidth="1"/>
    <col min="22" max="24" width="5.36328125" bestFit="1" customWidth="1"/>
    <col min="25" max="25" width="14.7265625" bestFit="1" customWidth="1"/>
    <col min="26" max="26" width="7.6328125" bestFit="1" customWidth="1"/>
    <col min="27" max="27" width="5.36328125" bestFit="1" customWidth="1"/>
    <col min="28" max="28" width="10.54296875" bestFit="1" customWidth="1"/>
    <col min="29" max="29" width="7.90625" bestFit="1" customWidth="1"/>
    <col min="30" max="31" width="5.36328125" bestFit="1" customWidth="1"/>
    <col min="32" max="32" width="10.81640625" bestFit="1" customWidth="1"/>
    <col min="33" max="33" width="9.08984375" bestFit="1" customWidth="1"/>
    <col min="34" max="34" width="5.36328125" bestFit="1" customWidth="1"/>
    <col min="35" max="35" width="12" bestFit="1" customWidth="1"/>
    <col min="36" max="36" width="15" bestFit="1" customWidth="1"/>
    <col min="37" max="40" width="5.36328125" bestFit="1" customWidth="1"/>
    <col min="41" max="41" width="18" bestFit="1" customWidth="1"/>
    <col min="42" max="42" width="11.7265625" bestFit="1" customWidth="1"/>
  </cols>
  <sheetData>
    <row r="2" spans="1:6" x14ac:dyDescent="0.35">
      <c r="A2" s="51" t="s">
        <v>30</v>
      </c>
      <c r="B2" s="51"/>
      <c r="D2" s="5"/>
    </row>
    <row r="3" spans="1:6" ht="14.5" customHeight="1" x14ac:dyDescent="0.35">
      <c r="A3" s="36" t="s">
        <v>95</v>
      </c>
      <c r="B3" s="37"/>
      <c r="C3" s="37"/>
      <c r="D3" s="37"/>
      <c r="E3" s="37"/>
      <c r="F3" s="38"/>
    </row>
    <row r="4" spans="1:6" x14ac:dyDescent="0.35">
      <c r="A4" s="39"/>
      <c r="B4" s="40"/>
      <c r="C4" s="40"/>
      <c r="D4" s="40"/>
      <c r="E4" s="40"/>
      <c r="F4" s="41"/>
    </row>
    <row r="5" spans="1:6" x14ac:dyDescent="0.35">
      <c r="A5" s="11"/>
      <c r="B5" s="11"/>
      <c r="C5" s="11"/>
      <c r="D5" s="11"/>
      <c r="E5" s="11"/>
      <c r="F5" s="11"/>
    </row>
    <row r="6" spans="1:6" x14ac:dyDescent="0.35">
      <c r="A6" s="11" cm="1">
        <f t="array" ref="A6:B6">ecuacion(2,-8,3)</f>
        <v>11.797959327697754</v>
      </c>
      <c r="B6" s="11">
        <v>-7.7979588508605957</v>
      </c>
      <c r="C6" s="11"/>
      <c r="D6" s="11"/>
      <c r="E6" s="11"/>
      <c r="F6" s="11"/>
    </row>
    <row r="7" spans="1:6" x14ac:dyDescent="0.35">
      <c r="A7" s="11"/>
      <c r="B7" s="11"/>
      <c r="C7" s="11"/>
      <c r="D7" s="11"/>
      <c r="E7" s="11"/>
      <c r="F7" s="11"/>
    </row>
    <row r="8" spans="1:6" x14ac:dyDescent="0.35">
      <c r="A8" s="13" t="s">
        <v>96</v>
      </c>
      <c r="B8" s="11"/>
      <c r="C8" s="11"/>
      <c r="D8" s="11"/>
      <c r="E8" s="11"/>
      <c r="F8" s="11"/>
    </row>
    <row r="9" spans="1:6" x14ac:dyDescent="0.35">
      <c r="A9" s="11"/>
      <c r="B9" s="11"/>
      <c r="C9" s="11"/>
      <c r="D9" s="11"/>
      <c r="E9" s="11"/>
      <c r="F9" s="11"/>
    </row>
    <row r="10" spans="1:6" x14ac:dyDescent="0.35">
      <c r="A10" s="11"/>
      <c r="B10" s="11"/>
      <c r="C10" s="11"/>
      <c r="D10" s="11"/>
      <c r="E10" s="11"/>
      <c r="F10" s="11"/>
    </row>
    <row r="11" spans="1:6" x14ac:dyDescent="0.35">
      <c r="A11" s="11"/>
      <c r="B11" s="11"/>
      <c r="C11" s="11"/>
      <c r="D11" s="11"/>
      <c r="E11" s="11"/>
      <c r="F11" s="11"/>
    </row>
    <row r="12" spans="1:6" x14ac:dyDescent="0.35">
      <c r="A12" s="11"/>
      <c r="B12" s="11"/>
      <c r="C12" s="11"/>
      <c r="D12" s="11"/>
      <c r="E12" s="11"/>
      <c r="F12" s="11"/>
    </row>
    <row r="14" spans="1:6" x14ac:dyDescent="0.35">
      <c r="A14" s="51" t="s">
        <v>31</v>
      </c>
      <c r="B14" s="51"/>
      <c r="D14" s="5"/>
    </row>
    <row r="15" spans="1:6" ht="14.5" customHeight="1" x14ac:dyDescent="0.35">
      <c r="A15" s="36" t="s">
        <v>97</v>
      </c>
      <c r="B15" s="37"/>
      <c r="C15" s="37"/>
      <c r="D15" s="37"/>
      <c r="E15" s="37"/>
      <c r="F15" s="38"/>
    </row>
    <row r="16" spans="1:6" x14ac:dyDescent="0.35">
      <c r="A16" s="39"/>
      <c r="B16" s="40"/>
      <c r="C16" s="40"/>
      <c r="D16" s="40"/>
      <c r="E16" s="40"/>
      <c r="F16" s="41"/>
    </row>
    <row r="17" spans="1:6" x14ac:dyDescent="0.35">
      <c r="A17" s="11"/>
      <c r="B17" s="11"/>
      <c r="C17" s="11"/>
      <c r="D17" s="11"/>
      <c r="E17" s="11"/>
      <c r="F17" s="11"/>
    </row>
    <row r="18" spans="1:6" x14ac:dyDescent="0.35">
      <c r="A18" s="11"/>
      <c r="B18" s="11"/>
      <c r="C18" s="11"/>
      <c r="D18" s="11"/>
      <c r="E18" s="11"/>
      <c r="F18" s="11"/>
    </row>
    <row r="19" spans="1:6" x14ac:dyDescent="0.35">
      <c r="A19" s="11"/>
      <c r="B19" s="11"/>
      <c r="C19" s="11"/>
      <c r="D19" s="11"/>
      <c r="E19" s="11"/>
      <c r="F19" s="11"/>
    </row>
    <row r="20" spans="1:6" x14ac:dyDescent="0.35">
      <c r="A20" s="11"/>
      <c r="B20" s="11"/>
      <c r="C20" s="11"/>
      <c r="D20" s="11"/>
      <c r="E20" s="11"/>
      <c r="F20" s="11"/>
    </row>
    <row r="21" spans="1:6" x14ac:dyDescent="0.35">
      <c r="A21" s="11"/>
      <c r="B21" s="11"/>
      <c r="C21" s="11"/>
      <c r="D21" s="11"/>
      <c r="E21" s="11"/>
      <c r="F21" s="11"/>
    </row>
    <row r="22" spans="1:6" x14ac:dyDescent="0.35">
      <c r="A22" s="11"/>
      <c r="B22" s="11"/>
      <c r="C22" s="11"/>
      <c r="D22" s="11"/>
      <c r="E22" s="11"/>
      <c r="F22" s="11"/>
    </row>
    <row r="23" spans="1:6" x14ac:dyDescent="0.35">
      <c r="A23" s="11"/>
      <c r="B23" s="11"/>
      <c r="C23" s="11"/>
      <c r="D23" s="11"/>
      <c r="E23" s="11"/>
      <c r="F23" s="11"/>
    </row>
    <row r="24" spans="1:6" x14ac:dyDescent="0.35">
      <c r="A24" s="11"/>
      <c r="B24" s="11"/>
      <c r="C24" s="11"/>
      <c r="D24" s="11"/>
      <c r="E24" s="11"/>
      <c r="F24" s="11"/>
    </row>
    <row r="25" spans="1:6" x14ac:dyDescent="0.35">
      <c r="A25" s="11"/>
      <c r="B25" s="11"/>
      <c r="C25" s="11"/>
      <c r="D25" s="11"/>
      <c r="E25" s="11"/>
      <c r="F25" s="11"/>
    </row>
    <row r="26" spans="1:6" x14ac:dyDescent="0.35">
      <c r="A26" s="11"/>
      <c r="B26" s="11"/>
      <c r="C26" s="11"/>
      <c r="D26" s="11"/>
      <c r="E26" s="11"/>
      <c r="F26" s="11"/>
    </row>
    <row r="27" spans="1:6" x14ac:dyDescent="0.35">
      <c r="A27" s="11"/>
      <c r="B27" s="11"/>
      <c r="C27" s="11"/>
      <c r="D27" s="11"/>
      <c r="E27" s="11"/>
      <c r="F27" s="11"/>
    </row>
    <row r="28" spans="1:6" x14ac:dyDescent="0.35">
      <c r="A28" s="11"/>
      <c r="B28" s="11"/>
      <c r="C28" s="11"/>
      <c r="D28" s="11"/>
      <c r="E28" s="11"/>
      <c r="F28" s="11"/>
    </row>
    <row r="29" spans="1:6" x14ac:dyDescent="0.35">
      <c r="A29" s="51" t="s">
        <v>32</v>
      </c>
      <c r="B29" s="51"/>
      <c r="D29" s="5"/>
    </row>
    <row r="30" spans="1:6" x14ac:dyDescent="0.35">
      <c r="A30" s="36" t="s">
        <v>98</v>
      </c>
      <c r="B30" s="37"/>
      <c r="C30" s="37"/>
      <c r="D30" s="37"/>
      <c r="E30" s="37"/>
      <c r="F30" s="38"/>
    </row>
    <row r="31" spans="1:6" x14ac:dyDescent="0.35">
      <c r="A31" s="39"/>
      <c r="B31" s="40"/>
      <c r="C31" s="40"/>
      <c r="D31" s="40"/>
      <c r="E31" s="40"/>
      <c r="F31" s="41"/>
    </row>
    <row r="35" spans="1:6" x14ac:dyDescent="0.35">
      <c r="A35" s="51" t="s">
        <v>33</v>
      </c>
      <c r="B35" s="51"/>
      <c r="D35" s="5"/>
    </row>
    <row r="36" spans="1:6" x14ac:dyDescent="0.35">
      <c r="A36" s="36" t="s">
        <v>99</v>
      </c>
      <c r="B36" s="37"/>
      <c r="C36" s="37"/>
      <c r="D36" s="37"/>
      <c r="E36" s="37"/>
      <c r="F36" s="38"/>
    </row>
    <row r="37" spans="1:6" x14ac:dyDescent="0.35">
      <c r="A37" s="39"/>
      <c r="B37" s="40"/>
      <c r="C37" s="40"/>
      <c r="D37" s="40"/>
      <c r="E37" s="40"/>
      <c r="F37" s="41"/>
    </row>
    <row r="41" spans="1:6" x14ac:dyDescent="0.35">
      <c r="A41" s="51" t="s">
        <v>34</v>
      </c>
      <c r="B41" s="51"/>
      <c r="D41" s="5"/>
    </row>
    <row r="42" spans="1:6" x14ac:dyDescent="0.35">
      <c r="A42" s="36" t="s">
        <v>100</v>
      </c>
      <c r="B42" s="37"/>
      <c r="C42" s="37"/>
      <c r="D42" s="37"/>
      <c r="E42" s="37"/>
      <c r="F42" s="38"/>
    </row>
    <row r="43" spans="1:6" x14ac:dyDescent="0.35">
      <c r="A43" s="39"/>
      <c r="B43" s="40"/>
      <c r="C43" s="40"/>
      <c r="D43" s="40"/>
      <c r="E43" s="40"/>
      <c r="F43" s="41"/>
    </row>
    <row r="51" spans="1:6" x14ac:dyDescent="0.35">
      <c r="A51" s="51" t="s">
        <v>35</v>
      </c>
      <c r="B51" s="51"/>
      <c r="D51" s="5"/>
    </row>
    <row r="52" spans="1:6" x14ac:dyDescent="0.35">
      <c r="A52" s="36" t="s">
        <v>101</v>
      </c>
      <c r="B52" s="37"/>
      <c r="C52" s="37"/>
      <c r="D52" s="37"/>
      <c r="E52" s="37"/>
      <c r="F52" s="38"/>
    </row>
    <row r="53" spans="1:6" x14ac:dyDescent="0.35">
      <c r="A53" s="39"/>
      <c r="B53" s="40"/>
      <c r="C53" s="40"/>
      <c r="D53" s="40"/>
      <c r="E53" s="40"/>
      <c r="F53" s="41"/>
    </row>
    <row r="67" spans="1:6" x14ac:dyDescent="0.35">
      <c r="A67" s="51" t="s">
        <v>36</v>
      </c>
      <c r="B67" s="51"/>
      <c r="D67" s="5"/>
    </row>
    <row r="68" spans="1:6" x14ac:dyDescent="0.35">
      <c r="A68" s="36" t="s">
        <v>102</v>
      </c>
      <c r="B68" s="37"/>
      <c r="C68" s="37"/>
      <c r="D68" s="37"/>
      <c r="E68" s="37"/>
      <c r="F68" s="38"/>
    </row>
    <row r="69" spans="1:6" x14ac:dyDescent="0.35">
      <c r="A69" s="39"/>
      <c r="B69" s="40"/>
      <c r="C69" s="40"/>
      <c r="D69" s="40"/>
      <c r="E69" s="40"/>
      <c r="F69" s="41"/>
    </row>
    <row r="73" spans="1:6" x14ac:dyDescent="0.35">
      <c r="A73" s="51" t="s">
        <v>37</v>
      </c>
      <c r="B73" s="51"/>
      <c r="D73" s="5"/>
    </row>
    <row r="74" spans="1:6" ht="14.5" customHeight="1" x14ac:dyDescent="0.35">
      <c r="A74" s="36" t="s">
        <v>103</v>
      </c>
      <c r="B74" s="37"/>
      <c r="C74" s="37"/>
      <c r="D74" s="37"/>
      <c r="E74" s="37"/>
      <c r="F74" s="38"/>
    </row>
    <row r="75" spans="1:6" x14ac:dyDescent="0.35">
      <c r="A75" s="62"/>
      <c r="B75" s="63"/>
      <c r="C75" s="63"/>
      <c r="D75" s="63"/>
      <c r="E75" s="63"/>
      <c r="F75" s="64"/>
    </row>
    <row r="76" spans="1:6" x14ac:dyDescent="0.35">
      <c r="A76" s="62"/>
      <c r="B76" s="63"/>
      <c r="C76" s="63"/>
      <c r="D76" s="63"/>
      <c r="E76" s="63"/>
      <c r="F76" s="64"/>
    </row>
    <row r="77" spans="1:6" x14ac:dyDescent="0.35">
      <c r="A77" s="39"/>
      <c r="B77" s="40"/>
      <c r="C77" s="40"/>
      <c r="D77" s="40"/>
      <c r="E77" s="40"/>
      <c r="F77" s="41"/>
    </row>
    <row r="81" spans="1:6" x14ac:dyDescent="0.35">
      <c r="A81" s="51" t="s">
        <v>38</v>
      </c>
      <c r="B81" s="51"/>
      <c r="D81" s="5"/>
    </row>
    <row r="82" spans="1:6" x14ac:dyDescent="0.35">
      <c r="A82" s="36" t="s">
        <v>104</v>
      </c>
      <c r="B82" s="37"/>
      <c r="C82" s="37"/>
      <c r="D82" s="37"/>
      <c r="E82" s="37"/>
      <c r="F82" s="38"/>
    </row>
    <row r="83" spans="1:6" x14ac:dyDescent="0.35">
      <c r="A83" s="39"/>
      <c r="B83" s="40"/>
      <c r="C83" s="40"/>
      <c r="D83" s="40"/>
      <c r="E83" s="40"/>
      <c r="F83" s="41"/>
    </row>
    <row r="87" spans="1:6" x14ac:dyDescent="0.35">
      <c r="A87" s="51" t="s">
        <v>39</v>
      </c>
      <c r="B87" s="51"/>
      <c r="D87" s="5"/>
    </row>
    <row r="88" spans="1:6" x14ac:dyDescent="0.35">
      <c r="A88" s="36" t="s">
        <v>105</v>
      </c>
      <c r="B88" s="37"/>
      <c r="C88" s="37"/>
      <c r="D88" s="37"/>
      <c r="E88" s="37"/>
      <c r="F88" s="38"/>
    </row>
    <row r="89" spans="1:6" x14ac:dyDescent="0.35">
      <c r="A89" s="39"/>
      <c r="B89" s="40"/>
      <c r="C89" s="40"/>
      <c r="D89" s="40"/>
      <c r="E89" s="40"/>
      <c r="F89" s="41"/>
    </row>
  </sheetData>
  <mergeCells count="20">
    <mergeCell ref="A87:B87"/>
    <mergeCell ref="A88:F89"/>
    <mergeCell ref="A67:B67"/>
    <mergeCell ref="A68:F69"/>
    <mergeCell ref="A73:B73"/>
    <mergeCell ref="A81:B81"/>
    <mergeCell ref="A82:F83"/>
    <mergeCell ref="A74:F77"/>
    <mergeCell ref="A52:F53"/>
    <mergeCell ref="A2:B2"/>
    <mergeCell ref="A3:F4"/>
    <mergeCell ref="A14:B14"/>
    <mergeCell ref="A15:F16"/>
    <mergeCell ref="A29:B29"/>
    <mergeCell ref="A30:F31"/>
    <mergeCell ref="A35:B35"/>
    <mergeCell ref="A36:F37"/>
    <mergeCell ref="A41:B41"/>
    <mergeCell ref="A42:F43"/>
    <mergeCell ref="A51:B51"/>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61071-E8C2-4518-8BF8-CF53DCB0ED2A}">
  <sheetPr codeName="Hoja5">
    <tabColor rgb="FFA5C9CA"/>
  </sheetPr>
  <dimension ref="A1"/>
  <sheetViews>
    <sheetView zoomScale="115" zoomScaleNormal="115" workbookViewId="0">
      <selection activeCell="B6" sqref="B6"/>
    </sheetView>
  </sheetViews>
  <sheetFormatPr baseColWidth="10"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74B3B03A2D8B14A9DE52E418F7EAE36" ma:contentTypeVersion="1" ma:contentTypeDescription="Create a new document." ma:contentTypeScope="" ma:versionID="61cebd6944a493bdb781ffdadcd45112">
  <xsd:schema xmlns:xsd="http://www.w3.org/2001/XMLSchema" xmlns:xs="http://www.w3.org/2001/XMLSchema" xmlns:p="http://schemas.microsoft.com/office/2006/metadata/properties" xmlns:ns3="d3ffced0-15ee-4b8a-8531-aa540eb4a855" targetNamespace="http://schemas.microsoft.com/office/2006/metadata/properties" ma:root="true" ma:fieldsID="1b973924036a08a0d314d1d407abc9c6" ns3:_="">
    <xsd:import namespace="d3ffced0-15ee-4b8a-8531-aa540eb4a855"/>
    <xsd:element name="properties">
      <xsd:complexType>
        <xsd:sequence>
          <xsd:element name="documentManagement">
            <xsd:complexType>
              <xsd:all>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3ffced0-15ee-4b8a-8531-aa540eb4a855"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52F35635-3DD8-4150-AE77-31CB6915E820}">
  <ds:schemaRefs>
    <ds:schemaRef ds:uri="http://schemas.microsoft.com/sharepoint/v3/contenttype/forms"/>
  </ds:schemaRefs>
</ds:datastoreItem>
</file>

<file path=customXml/itemProps2.xml><?xml version="1.0" encoding="utf-8"?>
<ds:datastoreItem xmlns:ds="http://schemas.openxmlformats.org/officeDocument/2006/customXml" ds:itemID="{49959A9F-1C38-4E02-8779-9EE3B82C1DE0}">
  <ds:schemaRefs>
    <ds:schemaRef ds:uri="http://schemas.microsoft.com/office/2006/documentManagement/types"/>
    <ds:schemaRef ds:uri="http://schemas.openxmlformats.org/package/2006/metadata/core-properties"/>
    <ds:schemaRef ds:uri="http://purl.org/dc/terms/"/>
    <ds:schemaRef ds:uri="http://purl.org/dc/elements/1.1/"/>
    <ds:schemaRef ds:uri="http://purl.org/dc/dcmitype/"/>
    <ds:schemaRef ds:uri="d3ffced0-15ee-4b8a-8531-aa540eb4a855"/>
    <ds:schemaRef ds:uri="http://schemas.microsoft.com/office/infopath/2007/PartnerControl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DB677D58-F363-4B5C-B91F-2A24A72E45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3ffced0-15ee-4b8a-8531-aa540eb4a85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7802B1D-C07C-4959-83E8-A1714817BB8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Index</vt:lpstr>
      <vt:lpstr>VBA Introduction</vt:lpstr>
      <vt:lpstr>Control Structures</vt:lpstr>
      <vt:lpstr>VBA 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Denus Valenzuela</dc:creator>
  <cp:lastModifiedBy>Cristian Denus Valenzuela</cp:lastModifiedBy>
  <dcterms:created xsi:type="dcterms:W3CDTF">2015-06-05T18:19:34Z</dcterms:created>
  <dcterms:modified xsi:type="dcterms:W3CDTF">2025-03-11T11:23:45Z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0x010100374B3B03A2D8B14A9DE52E418F7EAE36</vt:lpwstr>
  </property>
</Properties>
</file>